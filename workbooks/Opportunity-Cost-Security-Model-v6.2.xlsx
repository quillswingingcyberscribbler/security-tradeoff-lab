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6_{8C7794F6-6510-43E4-BC3E-F7578C5DF6BE}" xr6:coauthVersionLast="47" xr6:coauthVersionMax="47" xr10:uidLastSave="{00000000-0000-0000-0000-000000000000}"/>
  <bookViews>
    <workbookView xWindow="-53868" yWindow="-2820" windowWidth="30936" windowHeight="16776" xr2:uid="{00000000-000D-0000-FFFF-FFFF00000000}"/>
  </bookViews>
  <sheets>
    <sheet name="Start" sheetId="1" r:id="rId1"/>
    <sheet name="Case View" sheetId="2" r:id="rId2"/>
    <sheet name="Cases" sheetId="3" r:id="rId3"/>
    <sheet name="Current" sheetId="4" r:id="rId4"/>
    <sheet name="Proposed" sheetId="5" r:id="rId5"/>
    <sheet name="Review &amp; Decision" sheetId="6" r:id="rId6"/>
    <sheet name="Challenge Review" sheetId="7" r:id="rId7"/>
    <sheet name="Actuals" sheetId="8" r:id="rId8"/>
    <sheet name="Reinvestment" sheetId="9" r:id="rId9"/>
    <sheet name="Classification" sheetId="10" r:id="rId10"/>
    <sheet name="Settings" sheetId="11" r:id="rId11"/>
    <sheet name="Guide" sheetId="12" r:id="rId12"/>
    <sheet name="Sources" sheetId="13" r:id="rId13"/>
    <sheet name="Check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6" i="14" l="1"/>
  <c r="AK56" i="14"/>
  <c r="AJ56" i="14"/>
  <c r="AI56" i="14"/>
  <c r="AG56" i="14"/>
  <c r="C56" i="14"/>
  <c r="B56" i="14"/>
  <c r="AP55" i="14"/>
  <c r="AK55" i="14"/>
  <c r="AJ55" i="14"/>
  <c r="AI55" i="14"/>
  <c r="AG55" i="14"/>
  <c r="J55" i="14" s="1"/>
  <c r="C55" i="14"/>
  <c r="B55" i="14"/>
  <c r="AP54" i="14"/>
  <c r="AK54" i="14"/>
  <c r="AJ54" i="14"/>
  <c r="AI54" i="14"/>
  <c r="AE54" i="14" s="1"/>
  <c r="AG54" i="14"/>
  <c r="D54" i="14" s="1"/>
  <c r="J54" i="14"/>
  <c r="C54" i="14"/>
  <c r="B54" i="14"/>
  <c r="AP53" i="14"/>
  <c r="AK53" i="14"/>
  <c r="AJ53" i="14"/>
  <c r="AI53" i="14"/>
  <c r="AG53" i="14"/>
  <c r="H53" i="14" s="1"/>
  <c r="D53" i="14"/>
  <c r="C53" i="14"/>
  <c r="B53" i="14"/>
  <c r="AE53" i="14" s="1"/>
  <c r="AP52" i="14"/>
  <c r="AK52" i="14"/>
  <c r="AJ52" i="14"/>
  <c r="AI52" i="14"/>
  <c r="AG52" i="14"/>
  <c r="C52" i="14"/>
  <c r="B52" i="14"/>
  <c r="AP51" i="14"/>
  <c r="AK51" i="14"/>
  <c r="AJ51" i="14"/>
  <c r="AI51" i="14"/>
  <c r="AG51" i="14"/>
  <c r="C51" i="14"/>
  <c r="B51" i="14"/>
  <c r="AP50" i="14"/>
  <c r="AK50" i="14"/>
  <c r="AJ50" i="14"/>
  <c r="AI50" i="14"/>
  <c r="AG50" i="14"/>
  <c r="H50" i="14" s="1"/>
  <c r="AE50" i="14"/>
  <c r="AF50" i="14" s="1"/>
  <c r="J50" i="14"/>
  <c r="C50" i="14"/>
  <c r="B50" i="14"/>
  <c r="AP49" i="14"/>
  <c r="AK49" i="14"/>
  <c r="AJ49" i="14"/>
  <c r="AI49" i="14"/>
  <c r="AG49" i="14"/>
  <c r="D49" i="14" s="1"/>
  <c r="J49" i="14"/>
  <c r="H49" i="14"/>
  <c r="C49" i="14"/>
  <c r="B49" i="14"/>
  <c r="AP48" i="14"/>
  <c r="AK48" i="14"/>
  <c r="AJ48" i="14"/>
  <c r="AI48" i="14"/>
  <c r="AG48" i="14"/>
  <c r="J48" i="14"/>
  <c r="H48" i="14"/>
  <c r="D48" i="14"/>
  <c r="C48" i="14"/>
  <c r="B48" i="14"/>
  <c r="AE48" i="14" s="1"/>
  <c r="AP47" i="14"/>
  <c r="AK47" i="14"/>
  <c r="AJ47" i="14"/>
  <c r="AI47" i="14"/>
  <c r="AG47" i="14"/>
  <c r="AE47" i="14"/>
  <c r="C47" i="14"/>
  <c r="B47" i="14"/>
  <c r="AP46" i="14"/>
  <c r="AK46" i="14"/>
  <c r="AJ46" i="14"/>
  <c r="AI46" i="14"/>
  <c r="AG46" i="14"/>
  <c r="H46" i="14"/>
  <c r="C46" i="14"/>
  <c r="B46" i="14"/>
  <c r="AP45" i="14"/>
  <c r="AK45" i="14"/>
  <c r="AJ45" i="14"/>
  <c r="AI45" i="14"/>
  <c r="AE45" i="14" s="1"/>
  <c r="AF45" i="14" s="1"/>
  <c r="AG45" i="14"/>
  <c r="J45" i="14"/>
  <c r="H45" i="14"/>
  <c r="D45" i="14"/>
  <c r="C45" i="14"/>
  <c r="B45" i="14"/>
  <c r="AP44" i="14"/>
  <c r="D44" i="14" s="1"/>
  <c r="AK44" i="14"/>
  <c r="AJ44" i="14"/>
  <c r="AI44" i="14"/>
  <c r="AE44" i="14" s="1"/>
  <c r="AG44" i="14"/>
  <c r="C44" i="14"/>
  <c r="B44" i="14"/>
  <c r="AP43" i="14"/>
  <c r="AK43" i="14"/>
  <c r="AJ43" i="14"/>
  <c r="AI43" i="14"/>
  <c r="AG43" i="14"/>
  <c r="C43" i="14"/>
  <c r="B43" i="14"/>
  <c r="AP42" i="14"/>
  <c r="AK42" i="14"/>
  <c r="AJ42" i="14"/>
  <c r="AI42" i="14"/>
  <c r="AG42" i="14"/>
  <c r="H42" i="14" s="1"/>
  <c r="AE42" i="14"/>
  <c r="D42" i="14"/>
  <c r="C42" i="14"/>
  <c r="B42" i="14"/>
  <c r="J42" i="14" s="1"/>
  <c r="AP41" i="14"/>
  <c r="AK41" i="14"/>
  <c r="AJ41" i="14"/>
  <c r="AI41" i="14"/>
  <c r="AG41" i="14"/>
  <c r="AE41" i="14"/>
  <c r="D41" i="14"/>
  <c r="C41" i="14"/>
  <c r="B41" i="14"/>
  <c r="AP40" i="14"/>
  <c r="AK40" i="14"/>
  <c r="AJ40" i="14"/>
  <c r="AI40" i="14"/>
  <c r="AG40" i="14"/>
  <c r="C40" i="14"/>
  <c r="B40" i="14"/>
  <c r="AP39" i="14"/>
  <c r="AK39" i="14"/>
  <c r="AJ39" i="14"/>
  <c r="AI39" i="14"/>
  <c r="AG39" i="14"/>
  <c r="N39" i="14"/>
  <c r="C39" i="14"/>
  <c r="B39" i="14"/>
  <c r="AP38" i="14"/>
  <c r="AK38" i="14"/>
  <c r="AJ38" i="14"/>
  <c r="AI38" i="14"/>
  <c r="AG38" i="14"/>
  <c r="H38" i="14" s="1"/>
  <c r="AE38" i="14"/>
  <c r="J38" i="14"/>
  <c r="C38" i="14"/>
  <c r="B38" i="14"/>
  <c r="AP37" i="14"/>
  <c r="AK37" i="14"/>
  <c r="AJ37" i="14"/>
  <c r="AI37" i="14"/>
  <c r="AG37" i="14"/>
  <c r="H37" i="14"/>
  <c r="D37" i="14"/>
  <c r="C37" i="14"/>
  <c r="B37" i="14"/>
  <c r="J37" i="14" s="1"/>
  <c r="AP36" i="14"/>
  <c r="AK36" i="14"/>
  <c r="AJ36" i="14"/>
  <c r="AI36" i="14"/>
  <c r="AG36" i="14"/>
  <c r="AE36" i="14"/>
  <c r="J36" i="14"/>
  <c r="C36" i="14"/>
  <c r="B36" i="14"/>
  <c r="AP35" i="14"/>
  <c r="AK35" i="14"/>
  <c r="AJ35" i="14"/>
  <c r="AI35" i="14"/>
  <c r="AG35" i="14"/>
  <c r="C35" i="14"/>
  <c r="B35" i="14"/>
  <c r="AP34" i="14"/>
  <c r="AK34" i="14"/>
  <c r="AJ34" i="14"/>
  <c r="AI34" i="14"/>
  <c r="AG34" i="14"/>
  <c r="H34" i="14"/>
  <c r="G34" i="14"/>
  <c r="C34" i="14"/>
  <c r="B34" i="14"/>
  <c r="AP33" i="14"/>
  <c r="AK33" i="14"/>
  <c r="AJ33" i="14"/>
  <c r="AI33" i="14"/>
  <c r="AG33" i="14"/>
  <c r="AE33" i="14"/>
  <c r="AF33" i="14" s="1"/>
  <c r="J33" i="14"/>
  <c r="H33" i="14"/>
  <c r="D33" i="14"/>
  <c r="C33" i="14"/>
  <c r="B33" i="14"/>
  <c r="AP32" i="14"/>
  <c r="AK32" i="14"/>
  <c r="AJ32" i="14"/>
  <c r="AI32" i="14"/>
  <c r="AG32" i="14"/>
  <c r="C32" i="14"/>
  <c r="B32" i="14"/>
  <c r="AP31" i="14"/>
  <c r="AK31" i="14"/>
  <c r="AJ31" i="14"/>
  <c r="AI31" i="14"/>
  <c r="AG31" i="14"/>
  <c r="C31" i="14"/>
  <c r="B31" i="14"/>
  <c r="AP30" i="14"/>
  <c r="AK30" i="14"/>
  <c r="AJ30" i="14"/>
  <c r="AI30" i="14"/>
  <c r="AG30" i="14"/>
  <c r="H30" i="14" s="1"/>
  <c r="AE30" i="14"/>
  <c r="J30" i="14"/>
  <c r="C30" i="14"/>
  <c r="B30" i="14"/>
  <c r="D30" i="14" s="1"/>
  <c r="AP29" i="14"/>
  <c r="AK29" i="14"/>
  <c r="AJ29" i="14"/>
  <c r="AI29" i="14"/>
  <c r="AG29" i="14"/>
  <c r="J29" i="14" s="1"/>
  <c r="H29" i="14"/>
  <c r="C29" i="14"/>
  <c r="B29" i="14"/>
  <c r="AE29" i="14" s="1"/>
  <c r="AP28" i="14"/>
  <c r="AK28" i="14"/>
  <c r="AJ28" i="14"/>
  <c r="AI28" i="14"/>
  <c r="AG28" i="14"/>
  <c r="C28" i="14"/>
  <c r="B28" i="14"/>
  <c r="AP27" i="14"/>
  <c r="AK27" i="14"/>
  <c r="AJ27" i="14"/>
  <c r="AI27" i="14"/>
  <c r="AG27" i="14"/>
  <c r="AE27" i="14"/>
  <c r="J27" i="14"/>
  <c r="H27" i="14"/>
  <c r="D27" i="14"/>
  <c r="C27" i="14"/>
  <c r="B27" i="14"/>
  <c r="AP26" i="14"/>
  <c r="AK26" i="14"/>
  <c r="AJ26" i="14"/>
  <c r="AI26" i="14"/>
  <c r="AE26" i="14" s="1"/>
  <c r="AG26" i="14"/>
  <c r="C26" i="14"/>
  <c r="B26" i="14"/>
  <c r="AP25" i="14"/>
  <c r="AL25" i="14"/>
  <c r="AK25" i="14"/>
  <c r="AJ25" i="14"/>
  <c r="AI25" i="14"/>
  <c r="AG25" i="14"/>
  <c r="J25" i="14" s="1"/>
  <c r="D25" i="14"/>
  <c r="C25" i="14"/>
  <c r="B25" i="14"/>
  <c r="AP24" i="14"/>
  <c r="D24" i="14" s="1"/>
  <c r="AK24" i="14"/>
  <c r="AJ24" i="14"/>
  <c r="AI24" i="14"/>
  <c r="AE24" i="14" s="1"/>
  <c r="AG24" i="14"/>
  <c r="J24" i="14"/>
  <c r="H24" i="14"/>
  <c r="G24" i="14"/>
  <c r="C24" i="14"/>
  <c r="B24" i="14"/>
  <c r="AP23" i="14"/>
  <c r="AM23" i="14"/>
  <c r="AK23" i="14"/>
  <c r="AJ23" i="14"/>
  <c r="AI23" i="14"/>
  <c r="AG23" i="14"/>
  <c r="J23" i="14" s="1"/>
  <c r="C23" i="14"/>
  <c r="B23" i="14"/>
  <c r="AE23" i="14" s="1"/>
  <c r="AP22" i="14"/>
  <c r="AK22" i="14"/>
  <c r="AJ22" i="14"/>
  <c r="AI22" i="14"/>
  <c r="AG22" i="14"/>
  <c r="AE22" i="14"/>
  <c r="H22" i="14"/>
  <c r="C22" i="14"/>
  <c r="B22" i="14"/>
  <c r="AP21" i="14"/>
  <c r="AO21" i="14"/>
  <c r="AK21" i="14"/>
  <c r="AJ21" i="14"/>
  <c r="AI21" i="14"/>
  <c r="AG21" i="14"/>
  <c r="I21" i="14"/>
  <c r="C21" i="14"/>
  <c r="B21" i="14"/>
  <c r="AP20" i="14"/>
  <c r="AK20" i="14"/>
  <c r="AJ20" i="14"/>
  <c r="AI20" i="14"/>
  <c r="AG20" i="14"/>
  <c r="H20" i="14" s="1"/>
  <c r="AE20" i="14"/>
  <c r="AF20" i="14" s="1"/>
  <c r="J20" i="14"/>
  <c r="C20" i="14"/>
  <c r="B20" i="14"/>
  <c r="AP19" i="14"/>
  <c r="AK19" i="14"/>
  <c r="AJ19" i="14"/>
  <c r="AI19" i="14"/>
  <c r="AE19" i="14" s="1"/>
  <c r="AG19" i="14"/>
  <c r="J19" i="14" s="1"/>
  <c r="M19" i="6" s="1"/>
  <c r="C19" i="14"/>
  <c r="B19" i="14"/>
  <c r="AP18" i="14"/>
  <c r="AN18" i="14"/>
  <c r="AM18" i="14"/>
  <c r="AK18" i="14"/>
  <c r="AJ18" i="14"/>
  <c r="AI18" i="14"/>
  <c r="AG18" i="14"/>
  <c r="J18" i="14"/>
  <c r="H18" i="14"/>
  <c r="D18" i="14"/>
  <c r="C18" i="14"/>
  <c r="B18" i="14"/>
  <c r="AP17" i="14"/>
  <c r="F17" i="14" s="1"/>
  <c r="AK17" i="14"/>
  <c r="AJ17" i="14"/>
  <c r="AI17" i="14"/>
  <c r="AG17" i="14"/>
  <c r="J17" i="14" s="1"/>
  <c r="AE17" i="14"/>
  <c r="H17" i="14"/>
  <c r="D17" i="14"/>
  <c r="C17" i="14"/>
  <c r="B17" i="14"/>
  <c r="AP16" i="14"/>
  <c r="AK16" i="14"/>
  <c r="AJ16" i="14"/>
  <c r="AI16" i="14"/>
  <c r="AG16" i="14"/>
  <c r="AE16" i="14"/>
  <c r="J16" i="14"/>
  <c r="M16" i="6" s="1"/>
  <c r="H16" i="14"/>
  <c r="C16" i="14"/>
  <c r="B16" i="14"/>
  <c r="AP15" i="14"/>
  <c r="AK15" i="14"/>
  <c r="AJ15" i="14"/>
  <c r="AI15" i="14"/>
  <c r="AG15" i="14"/>
  <c r="AE15" i="14"/>
  <c r="AF15" i="14" s="1"/>
  <c r="H15" i="14"/>
  <c r="C15" i="14"/>
  <c r="B15" i="14"/>
  <c r="AP14" i="14"/>
  <c r="AK14" i="14"/>
  <c r="AJ14" i="14"/>
  <c r="AI14" i="14"/>
  <c r="AE14" i="14" s="1"/>
  <c r="AG14" i="14"/>
  <c r="J14" i="14" s="1"/>
  <c r="M14" i="6" s="1"/>
  <c r="D14" i="14"/>
  <c r="C14" i="14"/>
  <c r="B14" i="14"/>
  <c r="AP13" i="14"/>
  <c r="AK13" i="14"/>
  <c r="AJ13" i="14"/>
  <c r="AI13" i="14"/>
  <c r="AG13" i="14"/>
  <c r="C13" i="14"/>
  <c r="B13" i="14"/>
  <c r="AP12" i="14"/>
  <c r="AN12" i="14"/>
  <c r="AM12" i="14"/>
  <c r="AK12" i="14"/>
  <c r="AJ12" i="14"/>
  <c r="AI12" i="14"/>
  <c r="AG12" i="14"/>
  <c r="H12" i="14" s="1"/>
  <c r="I12" i="14"/>
  <c r="AO12" i="14" s="1"/>
  <c r="G12" i="14"/>
  <c r="C12" i="14"/>
  <c r="B12" i="14"/>
  <c r="AP11" i="14"/>
  <c r="AK11" i="14"/>
  <c r="AJ11" i="14"/>
  <c r="AI11" i="14"/>
  <c r="AG11" i="14"/>
  <c r="F11" i="14" s="1"/>
  <c r="C11" i="14"/>
  <c r="B11" i="14"/>
  <c r="AP10" i="14"/>
  <c r="AK10" i="14"/>
  <c r="AJ10" i="14"/>
  <c r="AI10" i="14"/>
  <c r="AG10" i="14"/>
  <c r="D10" i="14" s="1"/>
  <c r="C10" i="14"/>
  <c r="B10" i="14"/>
  <c r="AP9" i="14"/>
  <c r="F9" i="14" s="1"/>
  <c r="AK9" i="14"/>
  <c r="AJ9" i="14"/>
  <c r="AI9" i="14"/>
  <c r="AG9" i="14"/>
  <c r="J9" i="14"/>
  <c r="M9" i="6" s="1"/>
  <c r="H9" i="14"/>
  <c r="C9" i="14"/>
  <c r="B9" i="14"/>
  <c r="AP8" i="14"/>
  <c r="AK8" i="14"/>
  <c r="AJ8" i="14"/>
  <c r="AI8" i="14"/>
  <c r="AG8" i="14"/>
  <c r="Z8" i="14"/>
  <c r="I8" i="14"/>
  <c r="AO8" i="14" s="1"/>
  <c r="H8" i="14"/>
  <c r="F8" i="14"/>
  <c r="C8" i="14"/>
  <c r="B8" i="14"/>
  <c r="D8" i="14" s="1"/>
  <c r="AP7" i="14"/>
  <c r="AL7" i="14"/>
  <c r="AK7" i="14"/>
  <c r="AJ7" i="14"/>
  <c r="AI7" i="14"/>
  <c r="AG7" i="14"/>
  <c r="I7" i="14"/>
  <c r="H7" i="14"/>
  <c r="G7" i="14"/>
  <c r="F7" i="14"/>
  <c r="X7" i="14" s="1"/>
  <c r="G27" i="2" s="1"/>
  <c r="D7" i="14"/>
  <c r="C7" i="14"/>
  <c r="B7" i="14"/>
  <c r="A5" i="14"/>
  <c r="A5" i="13"/>
  <c r="A5" i="12"/>
  <c r="B22" i="11"/>
  <c r="A5" i="11"/>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A5" i="10"/>
  <c r="O50" i="9"/>
  <c r="L50" i="9"/>
  <c r="N50" i="9" s="1"/>
  <c r="P49" i="9"/>
  <c r="M49" i="9"/>
  <c r="L49" i="9"/>
  <c r="N49" i="9" s="1"/>
  <c r="P48" i="9"/>
  <c r="O48" i="9"/>
  <c r="N48" i="9"/>
  <c r="M48" i="9"/>
  <c r="L48" i="9"/>
  <c r="P47" i="9"/>
  <c r="O47" i="9"/>
  <c r="N47" i="9"/>
  <c r="M47" i="9"/>
  <c r="L47" i="9"/>
  <c r="N46" i="9"/>
  <c r="L46" i="9"/>
  <c r="P45" i="9"/>
  <c r="M45" i="9"/>
  <c r="L45" i="9"/>
  <c r="O45" i="9" s="1"/>
  <c r="P44" i="9"/>
  <c r="L44" i="9"/>
  <c r="O44" i="9" s="1"/>
  <c r="L43" i="9"/>
  <c r="P42" i="9"/>
  <c r="N42" i="9"/>
  <c r="L42" i="9"/>
  <c r="M42" i="9" s="1"/>
  <c r="P41" i="9"/>
  <c r="O41" i="9"/>
  <c r="M41" i="9"/>
  <c r="L41" i="9"/>
  <c r="N41" i="9" s="1"/>
  <c r="L40" i="9"/>
  <c r="P40" i="9" s="1"/>
  <c r="N39" i="9"/>
  <c r="L39" i="9"/>
  <c r="P39" i="9" s="1"/>
  <c r="P38" i="9"/>
  <c r="M38" i="9"/>
  <c r="L38" i="9"/>
  <c r="N38" i="9" s="1"/>
  <c r="L37" i="9"/>
  <c r="N37" i="9" s="1"/>
  <c r="P36" i="9"/>
  <c r="O36" i="9"/>
  <c r="N36" i="9"/>
  <c r="M36" i="9"/>
  <c r="L36" i="9"/>
  <c r="P35" i="9"/>
  <c r="O35" i="9"/>
  <c r="N35" i="9"/>
  <c r="M35" i="9"/>
  <c r="L35" i="9"/>
  <c r="P34" i="9"/>
  <c r="O34" i="9"/>
  <c r="M34" i="9"/>
  <c r="L34" i="9"/>
  <c r="N34" i="9" s="1"/>
  <c r="P33" i="9"/>
  <c r="L33" i="9"/>
  <c r="O33" i="9" s="1"/>
  <c r="N32" i="9"/>
  <c r="M32" i="9"/>
  <c r="L32" i="9"/>
  <c r="P31" i="9"/>
  <c r="N31" i="9"/>
  <c r="L31" i="9"/>
  <c r="M31" i="9" s="1"/>
  <c r="A25" i="9"/>
  <c r="C8" i="9"/>
  <c r="A5" i="9"/>
  <c r="M56" i="8"/>
  <c r="I56" i="14" s="1"/>
  <c r="M55" i="8"/>
  <c r="I55" i="14" s="1"/>
  <c r="M54" i="8"/>
  <c r="I54" i="14" s="1"/>
  <c r="M53" i="8"/>
  <c r="I53" i="14" s="1"/>
  <c r="M52" i="8"/>
  <c r="M51" i="8"/>
  <c r="I51" i="14" s="1"/>
  <c r="M50" i="8"/>
  <c r="I50" i="14" s="1"/>
  <c r="M49" i="8"/>
  <c r="I49" i="14" s="1"/>
  <c r="M48" i="8"/>
  <c r="I48" i="14" s="1"/>
  <c r="M47" i="8"/>
  <c r="M46" i="8"/>
  <c r="I46" i="14" s="1"/>
  <c r="M45" i="8"/>
  <c r="I45" i="14" s="1"/>
  <c r="M44" i="8"/>
  <c r="M43" i="8"/>
  <c r="I43" i="14" s="1"/>
  <c r="M42" i="8"/>
  <c r="I42" i="14" s="1"/>
  <c r="AL42" i="14" s="1"/>
  <c r="M41" i="8"/>
  <c r="I41" i="14" s="1"/>
  <c r="M40" i="8"/>
  <c r="M39" i="8"/>
  <c r="I39" i="14" s="1"/>
  <c r="M38" i="8"/>
  <c r="I38" i="14" s="1"/>
  <c r="AM38" i="14" s="1"/>
  <c r="M37" i="8"/>
  <c r="I37" i="14" s="1"/>
  <c r="M36" i="8"/>
  <c r="I36" i="14" s="1"/>
  <c r="M35" i="8"/>
  <c r="M34" i="8"/>
  <c r="I34" i="14" s="1"/>
  <c r="AL34" i="14" s="1"/>
  <c r="M33" i="8"/>
  <c r="I33" i="14" s="1"/>
  <c r="M32" i="8"/>
  <c r="M31" i="8"/>
  <c r="M30" i="8"/>
  <c r="I30" i="14" s="1"/>
  <c r="M29" i="8"/>
  <c r="I29" i="14" s="1"/>
  <c r="M28" i="8"/>
  <c r="M27" i="8"/>
  <c r="I27" i="14" s="1"/>
  <c r="M26" i="8"/>
  <c r="I26" i="14" s="1"/>
  <c r="M25" i="8"/>
  <c r="I25" i="14" s="1"/>
  <c r="M24" i="8"/>
  <c r="M23" i="8"/>
  <c r="I23" i="14" s="1"/>
  <c r="M22" i="8"/>
  <c r="M21" i="8"/>
  <c r="M20" i="8"/>
  <c r="I20" i="14" s="1"/>
  <c r="AO20" i="14" s="1"/>
  <c r="M19" i="8"/>
  <c r="M18" i="8"/>
  <c r="I18" i="14" s="1"/>
  <c r="AO18" i="14" s="1"/>
  <c r="M17" i="8"/>
  <c r="M16" i="8"/>
  <c r="M15" i="8"/>
  <c r="I15" i="14" s="1"/>
  <c r="M14" i="8"/>
  <c r="M13" i="8"/>
  <c r="M12" i="8"/>
  <c r="M11" i="8"/>
  <c r="M10" i="8"/>
  <c r="I10" i="14" s="1"/>
  <c r="M9" i="8"/>
  <c r="M8" i="8"/>
  <c r="M7" i="8"/>
  <c r="A5" i="8"/>
  <c r="K56" i="7"/>
  <c r="G56" i="14" s="1"/>
  <c r="K55" i="7"/>
  <c r="G55" i="14" s="1"/>
  <c r="K54" i="7"/>
  <c r="G54" i="14" s="1"/>
  <c r="K53" i="7"/>
  <c r="G53" i="14" s="1"/>
  <c r="K52" i="7"/>
  <c r="G52" i="14" s="1"/>
  <c r="K51" i="7"/>
  <c r="G51" i="14" s="1"/>
  <c r="K50" i="7"/>
  <c r="G50" i="14" s="1"/>
  <c r="K49" i="7"/>
  <c r="G49" i="14" s="1"/>
  <c r="K48" i="7"/>
  <c r="G48" i="14" s="1"/>
  <c r="K47" i="7"/>
  <c r="G47" i="14" s="1"/>
  <c r="K46" i="7"/>
  <c r="G46" i="14" s="1"/>
  <c r="K45" i="7"/>
  <c r="G45" i="14" s="1"/>
  <c r="K44" i="7"/>
  <c r="G44" i="14" s="1"/>
  <c r="K43" i="7"/>
  <c r="G43" i="14" s="1"/>
  <c r="K42" i="7"/>
  <c r="G42" i="14" s="1"/>
  <c r="K41" i="7"/>
  <c r="G41" i="14" s="1"/>
  <c r="K40" i="7"/>
  <c r="G40" i="14" s="1"/>
  <c r="K39" i="7"/>
  <c r="G39" i="14" s="1"/>
  <c r="K38" i="7"/>
  <c r="G38" i="14" s="1"/>
  <c r="K37" i="7"/>
  <c r="G37" i="14" s="1"/>
  <c r="K36" i="7"/>
  <c r="G36" i="14" s="1"/>
  <c r="K35" i="7"/>
  <c r="G35" i="14" s="1"/>
  <c r="K34" i="7"/>
  <c r="K33" i="7"/>
  <c r="G33" i="14" s="1"/>
  <c r="K32" i="7"/>
  <c r="G32" i="14" s="1"/>
  <c r="K31" i="7"/>
  <c r="G31" i="14" s="1"/>
  <c r="K30" i="7"/>
  <c r="G30" i="14" s="1"/>
  <c r="K29" i="7"/>
  <c r="G29" i="14" s="1"/>
  <c r="K28" i="7"/>
  <c r="G28" i="14" s="1"/>
  <c r="K27" i="7"/>
  <c r="G27" i="14" s="1"/>
  <c r="K26" i="7"/>
  <c r="G26" i="14" s="1"/>
  <c r="K25" i="7"/>
  <c r="G25" i="14" s="1"/>
  <c r="K24" i="7"/>
  <c r="K23" i="7"/>
  <c r="G23" i="14" s="1"/>
  <c r="K22" i="7"/>
  <c r="G22" i="14" s="1"/>
  <c r="K21" i="7"/>
  <c r="G21" i="14" s="1"/>
  <c r="K20" i="7"/>
  <c r="G20" i="14" s="1"/>
  <c r="K19" i="7"/>
  <c r="G19" i="14" s="1"/>
  <c r="K18" i="7"/>
  <c r="G18" i="14" s="1"/>
  <c r="K17" i="7"/>
  <c r="G17" i="14" s="1"/>
  <c r="K16" i="7"/>
  <c r="G16" i="14" s="1"/>
  <c r="K15" i="7"/>
  <c r="G15" i="14" s="1"/>
  <c r="K14" i="7"/>
  <c r="G14" i="14" s="1"/>
  <c r="K13" i="7"/>
  <c r="G13" i="14" s="1"/>
  <c r="K12" i="7"/>
  <c r="K11" i="7"/>
  <c r="G11" i="14" s="1"/>
  <c r="K10" i="7"/>
  <c r="G10" i="14" s="1"/>
  <c r="K9" i="7"/>
  <c r="G9" i="14" s="1"/>
  <c r="K8" i="7"/>
  <c r="G8" i="14" s="1"/>
  <c r="K7" i="7"/>
  <c r="A5" i="7"/>
  <c r="M55" i="6"/>
  <c r="M54" i="6"/>
  <c r="M50" i="6"/>
  <c r="M49" i="6"/>
  <c r="M48" i="6"/>
  <c r="M45" i="6"/>
  <c r="M42" i="6"/>
  <c r="M38" i="6"/>
  <c r="M37" i="6"/>
  <c r="M36" i="6"/>
  <c r="M33" i="6"/>
  <c r="M30" i="6"/>
  <c r="M29" i="6"/>
  <c r="M27" i="6"/>
  <c r="M25" i="6"/>
  <c r="M24" i="6"/>
  <c r="M23" i="6"/>
  <c r="M20" i="6"/>
  <c r="M18" i="6"/>
  <c r="M17" i="6"/>
  <c r="A5" i="6"/>
  <c r="L56" i="5"/>
  <c r="I56" i="5"/>
  <c r="H56" i="5"/>
  <c r="J56" i="5" s="1"/>
  <c r="L55" i="5"/>
  <c r="K55" i="5"/>
  <c r="I55" i="5"/>
  <c r="H55" i="5"/>
  <c r="F55" i="14" s="1"/>
  <c r="L54" i="5"/>
  <c r="K54" i="5"/>
  <c r="J54" i="5"/>
  <c r="I54" i="5"/>
  <c r="H54" i="5"/>
  <c r="L53" i="5"/>
  <c r="K53" i="5"/>
  <c r="J53" i="5"/>
  <c r="I53" i="5"/>
  <c r="H53" i="5"/>
  <c r="H52" i="5"/>
  <c r="J52" i="5" s="1"/>
  <c r="L51" i="5"/>
  <c r="I51" i="5"/>
  <c r="H51" i="5"/>
  <c r="K51" i="5" s="1"/>
  <c r="L50" i="5"/>
  <c r="I50" i="5"/>
  <c r="H50" i="5"/>
  <c r="F50" i="14" s="1"/>
  <c r="H49" i="5"/>
  <c r="I49" i="5" s="1"/>
  <c r="K48" i="5"/>
  <c r="J48" i="5"/>
  <c r="I48" i="5"/>
  <c r="H48" i="5"/>
  <c r="L48" i="5" s="1"/>
  <c r="H47" i="5"/>
  <c r="K46" i="5"/>
  <c r="J46" i="5"/>
  <c r="H46" i="5"/>
  <c r="L46" i="5" s="1"/>
  <c r="H45" i="5"/>
  <c r="F45" i="14" s="1"/>
  <c r="I44" i="5"/>
  <c r="H44" i="5"/>
  <c r="L43" i="5"/>
  <c r="J43" i="5"/>
  <c r="H43" i="5"/>
  <c r="F43" i="14" s="1"/>
  <c r="L42" i="5"/>
  <c r="K42" i="5"/>
  <c r="J42" i="5"/>
  <c r="I42" i="5"/>
  <c r="H42" i="5"/>
  <c r="L41" i="5"/>
  <c r="K41" i="5"/>
  <c r="J41" i="5"/>
  <c r="H41" i="5"/>
  <c r="I41" i="5" s="1"/>
  <c r="H40" i="5"/>
  <c r="I40" i="5" s="1"/>
  <c r="J39" i="5"/>
  <c r="I39" i="5"/>
  <c r="H39" i="5"/>
  <c r="L38" i="5"/>
  <c r="J38" i="5"/>
  <c r="H38" i="5"/>
  <c r="F38" i="14" s="1"/>
  <c r="J37" i="5"/>
  <c r="H37" i="5"/>
  <c r="I37" i="5" s="1"/>
  <c r="L36" i="5"/>
  <c r="K36" i="5"/>
  <c r="J36" i="5"/>
  <c r="I36" i="5"/>
  <c r="H36" i="5"/>
  <c r="L35" i="5"/>
  <c r="K35" i="5"/>
  <c r="J35" i="5"/>
  <c r="I35" i="5"/>
  <c r="H35" i="5"/>
  <c r="H34" i="5"/>
  <c r="K34" i="5" s="1"/>
  <c r="L33" i="5"/>
  <c r="K33" i="5"/>
  <c r="I33" i="5"/>
  <c r="H33" i="5"/>
  <c r="J33" i="5" s="1"/>
  <c r="L32" i="5"/>
  <c r="I32" i="5"/>
  <c r="H32" i="5"/>
  <c r="J32" i="5" s="1"/>
  <c r="L31" i="5"/>
  <c r="K31" i="5"/>
  <c r="J31" i="5"/>
  <c r="I31" i="5"/>
  <c r="H31" i="5"/>
  <c r="L30" i="5"/>
  <c r="K30" i="5"/>
  <c r="J30" i="5"/>
  <c r="I30" i="5"/>
  <c r="H30" i="5"/>
  <c r="J29" i="5"/>
  <c r="H29" i="5"/>
  <c r="K29" i="5" s="1"/>
  <c r="L28" i="5"/>
  <c r="J28" i="5"/>
  <c r="H28" i="5"/>
  <c r="K28" i="5" s="1"/>
  <c r="J27" i="5"/>
  <c r="H27" i="5"/>
  <c r="L26" i="5"/>
  <c r="K26" i="5"/>
  <c r="J26" i="5"/>
  <c r="H26" i="5"/>
  <c r="I26" i="5" s="1"/>
  <c r="H25" i="5"/>
  <c r="H24" i="5"/>
  <c r="K24" i="5" s="1"/>
  <c r="K23" i="5"/>
  <c r="J23" i="5"/>
  <c r="I23" i="5"/>
  <c r="H23" i="5"/>
  <c r="L23" i="5" s="1"/>
  <c r="K22" i="5"/>
  <c r="I22" i="5"/>
  <c r="H22" i="5"/>
  <c r="L21" i="5"/>
  <c r="K21" i="5"/>
  <c r="I21" i="5"/>
  <c r="H21" i="5"/>
  <c r="J21" i="5" s="1"/>
  <c r="L20" i="5"/>
  <c r="I20" i="5"/>
  <c r="H20" i="5"/>
  <c r="J20" i="5" s="1"/>
  <c r="L19" i="5"/>
  <c r="K19" i="5"/>
  <c r="J19" i="5"/>
  <c r="I19" i="5"/>
  <c r="H19" i="5"/>
  <c r="L18" i="5"/>
  <c r="K18" i="5"/>
  <c r="J18" i="5"/>
  <c r="I18" i="5"/>
  <c r="H18" i="5"/>
  <c r="H17" i="5"/>
  <c r="K17" i="5" s="1"/>
  <c r="L16" i="5"/>
  <c r="J16" i="5"/>
  <c r="H16" i="5"/>
  <c r="K16" i="5" s="1"/>
  <c r="J15" i="5"/>
  <c r="H15" i="5"/>
  <c r="K14" i="5"/>
  <c r="L14" i="5" s="1"/>
  <c r="J14" i="5"/>
  <c r="H14" i="5"/>
  <c r="I14" i="5" s="1"/>
  <c r="H13" i="5"/>
  <c r="H12" i="5"/>
  <c r="F12" i="14" s="1"/>
  <c r="K11" i="5"/>
  <c r="I11" i="5"/>
  <c r="H11" i="5"/>
  <c r="L11" i="5" s="1"/>
  <c r="H10" i="5"/>
  <c r="K10" i="5" s="1"/>
  <c r="K9" i="5"/>
  <c r="L9" i="5" s="1"/>
  <c r="I9" i="5"/>
  <c r="H9" i="5"/>
  <c r="J9" i="5" s="1"/>
  <c r="I8" i="5"/>
  <c r="H8" i="5"/>
  <c r="J8" i="5" s="1"/>
  <c r="K7" i="5"/>
  <c r="L7" i="5" s="1"/>
  <c r="J7" i="5"/>
  <c r="I7" i="5"/>
  <c r="H7" i="5"/>
  <c r="A5" i="5"/>
  <c r="G56" i="4"/>
  <c r="G55" i="4"/>
  <c r="I55" i="4" s="1"/>
  <c r="J54" i="4"/>
  <c r="I54" i="4"/>
  <c r="H54" i="4"/>
  <c r="G54" i="4"/>
  <c r="K54" i="4" s="1"/>
  <c r="G53" i="4"/>
  <c r="J53" i="4" s="1"/>
  <c r="K52" i="4"/>
  <c r="J52" i="4"/>
  <c r="H52" i="4"/>
  <c r="G52" i="4"/>
  <c r="I52" i="4" s="1"/>
  <c r="K51" i="4"/>
  <c r="H51" i="4"/>
  <c r="G51" i="4"/>
  <c r="E51" i="14" s="1"/>
  <c r="K50" i="4"/>
  <c r="J50" i="4"/>
  <c r="I50" i="4"/>
  <c r="H50" i="4"/>
  <c r="G50" i="4"/>
  <c r="E50" i="14" s="1"/>
  <c r="K49" i="4"/>
  <c r="J49" i="4"/>
  <c r="I49" i="4"/>
  <c r="H49" i="4"/>
  <c r="G49" i="4"/>
  <c r="E49" i="14" s="1"/>
  <c r="K48" i="4"/>
  <c r="H48" i="4"/>
  <c r="G48" i="4"/>
  <c r="K47" i="4"/>
  <c r="I47" i="4"/>
  <c r="G47" i="4"/>
  <c r="J47" i="4" s="1"/>
  <c r="G46" i="4"/>
  <c r="K45" i="4"/>
  <c r="J45" i="4"/>
  <c r="I45" i="4"/>
  <c r="G45" i="4"/>
  <c r="E45" i="14" s="1"/>
  <c r="G44" i="4"/>
  <c r="G43" i="4"/>
  <c r="J42" i="4"/>
  <c r="I42" i="4"/>
  <c r="H42" i="4"/>
  <c r="G42" i="4"/>
  <c r="K42" i="4" s="1"/>
  <c r="G41" i="4"/>
  <c r="K40" i="4"/>
  <c r="J40" i="4"/>
  <c r="H40" i="4"/>
  <c r="G40" i="4"/>
  <c r="E40" i="14" s="1"/>
  <c r="K39" i="4"/>
  <c r="H39" i="4"/>
  <c r="G39" i="4"/>
  <c r="E39" i="14" s="1"/>
  <c r="K38" i="4"/>
  <c r="J38" i="4"/>
  <c r="I38" i="4"/>
  <c r="H38" i="4"/>
  <c r="G38" i="4"/>
  <c r="K37" i="4"/>
  <c r="J37" i="4"/>
  <c r="I37" i="4"/>
  <c r="H37" i="4"/>
  <c r="G37" i="4"/>
  <c r="E37" i="14" s="1"/>
  <c r="H36" i="4"/>
  <c r="G36" i="4"/>
  <c r="J36" i="4" s="1"/>
  <c r="K35" i="4"/>
  <c r="I35" i="4"/>
  <c r="G35" i="4"/>
  <c r="J35" i="4" s="1"/>
  <c r="G34" i="4"/>
  <c r="K33" i="4"/>
  <c r="J33" i="4"/>
  <c r="I33" i="4"/>
  <c r="G33" i="4"/>
  <c r="H33" i="4" s="1"/>
  <c r="G32" i="4"/>
  <c r="G31" i="4"/>
  <c r="J30" i="4"/>
  <c r="I30" i="4"/>
  <c r="H30" i="4"/>
  <c r="G30" i="4"/>
  <c r="K30" i="4" s="1"/>
  <c r="G29" i="4"/>
  <c r="J29" i="4" s="1"/>
  <c r="K28" i="4"/>
  <c r="J28" i="4"/>
  <c r="H28" i="4"/>
  <c r="G28" i="4"/>
  <c r="I28" i="4" s="1"/>
  <c r="K27" i="4"/>
  <c r="H27" i="4"/>
  <c r="G27" i="4"/>
  <c r="E27" i="14" s="1"/>
  <c r="K26" i="4"/>
  <c r="J26" i="4"/>
  <c r="I26" i="4"/>
  <c r="H26" i="4"/>
  <c r="G26" i="4"/>
  <c r="K25" i="4"/>
  <c r="J25" i="4"/>
  <c r="I25" i="4"/>
  <c r="H25" i="4"/>
  <c r="G25" i="4"/>
  <c r="E25" i="14" s="1"/>
  <c r="W25" i="14" s="1"/>
  <c r="K24" i="4"/>
  <c r="H24" i="4"/>
  <c r="G24" i="4"/>
  <c r="J24" i="4" s="1"/>
  <c r="K23" i="4"/>
  <c r="I23" i="4"/>
  <c r="G23" i="4"/>
  <c r="J23" i="4" s="1"/>
  <c r="G22" i="4"/>
  <c r="K21" i="4"/>
  <c r="J21" i="4"/>
  <c r="I21" i="4"/>
  <c r="G21" i="4"/>
  <c r="H21" i="4" s="1"/>
  <c r="G20" i="4"/>
  <c r="G19" i="4"/>
  <c r="K19" i="4" s="1"/>
  <c r="J18" i="4"/>
  <c r="I18" i="4"/>
  <c r="H18" i="4"/>
  <c r="G18" i="4"/>
  <c r="E18" i="14" s="1"/>
  <c r="W18" i="14" s="1"/>
  <c r="G17" i="4"/>
  <c r="J16" i="4"/>
  <c r="K16" i="4" s="1"/>
  <c r="H16" i="4"/>
  <c r="G16" i="4"/>
  <c r="I16" i="4" s="1"/>
  <c r="H15" i="4"/>
  <c r="G15" i="4"/>
  <c r="I15" i="4" s="1"/>
  <c r="J14" i="4"/>
  <c r="K14" i="4" s="1"/>
  <c r="I14" i="4"/>
  <c r="H14" i="4"/>
  <c r="G14" i="4"/>
  <c r="K13" i="4"/>
  <c r="J13" i="4"/>
  <c r="I13" i="4"/>
  <c r="H13" i="4"/>
  <c r="G13" i="4"/>
  <c r="G12" i="4"/>
  <c r="J12" i="4" s="1"/>
  <c r="I11" i="4"/>
  <c r="G11" i="4"/>
  <c r="J11" i="4" s="1"/>
  <c r="K11" i="4" s="1"/>
  <c r="I10" i="4"/>
  <c r="G10" i="4"/>
  <c r="K9" i="4"/>
  <c r="J9" i="4"/>
  <c r="I9" i="4"/>
  <c r="G9" i="4"/>
  <c r="H9" i="4" s="1"/>
  <c r="G8" i="4"/>
  <c r="G7" i="4"/>
  <c r="A5" i="4"/>
  <c r="A5" i="3"/>
  <c r="I51" i="2"/>
  <c r="E51" i="2"/>
  <c r="A51" i="2"/>
  <c r="I48" i="2"/>
  <c r="E48" i="2"/>
  <c r="A48" i="2"/>
  <c r="D44" i="2"/>
  <c r="D41" i="2"/>
  <c r="D38" i="2"/>
  <c r="D35" i="2"/>
  <c r="I33" i="2"/>
  <c r="E33" i="2"/>
  <c r="A33" i="2"/>
  <c r="D19" i="2"/>
  <c r="D17" i="2"/>
  <c r="D15" i="2"/>
  <c r="D13" i="2"/>
  <c r="D11" i="2"/>
  <c r="E5" i="2"/>
  <c r="A5" i="2"/>
  <c r="E31" i="1"/>
  <c r="I27" i="1"/>
  <c r="E27" i="1"/>
  <c r="A27" i="1"/>
  <c r="A24" i="1"/>
  <c r="A22" i="1"/>
  <c r="A20" i="1"/>
  <c r="A18" i="1"/>
  <c r="A16" i="1"/>
  <c r="A9" i="1"/>
  <c r="Z12" i="14" l="1"/>
  <c r="U12" i="14"/>
  <c r="Z17" i="14"/>
  <c r="U17" i="14"/>
  <c r="R11" i="14"/>
  <c r="X11" i="14"/>
  <c r="O11" i="14"/>
  <c r="Z11" i="14"/>
  <c r="U11" i="14"/>
  <c r="AL10" i="14"/>
  <c r="AO10" i="14"/>
  <c r="AN10" i="14"/>
  <c r="AM10" i="14"/>
  <c r="E46" i="14"/>
  <c r="J46" i="4"/>
  <c r="H46" i="4"/>
  <c r="K46" i="4"/>
  <c r="K12" i="4"/>
  <c r="H29" i="4"/>
  <c r="E43" i="14"/>
  <c r="K43" i="4"/>
  <c r="H53" i="4"/>
  <c r="I10" i="5"/>
  <c r="I24" i="5"/>
  <c r="L49" i="5"/>
  <c r="AL29" i="14"/>
  <c r="AO29" i="14"/>
  <c r="AN29" i="14"/>
  <c r="AM29" i="14"/>
  <c r="AO41" i="14"/>
  <c r="AL41" i="14"/>
  <c r="AN41" i="14"/>
  <c r="AM41" i="14"/>
  <c r="AO53" i="14"/>
  <c r="AL53" i="14"/>
  <c r="AN53" i="14"/>
  <c r="AM53" i="14"/>
  <c r="P37" i="9"/>
  <c r="AM8" i="14"/>
  <c r="F10" i="14"/>
  <c r="AH14" i="14"/>
  <c r="H19" i="4"/>
  <c r="H43" i="4"/>
  <c r="J24" i="5"/>
  <c r="P46" i="9"/>
  <c r="O46" i="9"/>
  <c r="AN8" i="14"/>
  <c r="AE11" i="14"/>
  <c r="E35" i="1"/>
  <c r="E33" i="1"/>
  <c r="K11" i="14"/>
  <c r="I17" i="4"/>
  <c r="E31" i="14"/>
  <c r="K31" i="4"/>
  <c r="I19" i="4"/>
  <c r="I43" i="4"/>
  <c r="E48" i="14"/>
  <c r="J48" i="4"/>
  <c r="K15" i="5"/>
  <c r="L15" i="5" s="1"/>
  <c r="I15" i="5"/>
  <c r="F15" i="14"/>
  <c r="I29" i="5"/>
  <c r="O32" i="9"/>
  <c r="P32" i="9"/>
  <c r="G14" i="9" s="1"/>
  <c r="M46" i="9"/>
  <c r="M43" i="9"/>
  <c r="P43" i="9"/>
  <c r="J19" i="4"/>
  <c r="E34" i="14"/>
  <c r="J34" i="4"/>
  <c r="H34" i="4"/>
  <c r="K34" i="4"/>
  <c r="J43" i="4"/>
  <c r="F25" i="14"/>
  <c r="I25" i="5"/>
  <c r="L25" i="5"/>
  <c r="K25" i="5"/>
  <c r="J25" i="5"/>
  <c r="L47" i="5"/>
  <c r="K47" i="5"/>
  <c r="J47" i="5"/>
  <c r="L7" i="14"/>
  <c r="D9" i="14"/>
  <c r="K41" i="4"/>
  <c r="I41" i="4"/>
  <c r="H41" i="4"/>
  <c r="AO23" i="14"/>
  <c r="AN23" i="14"/>
  <c r="N43" i="9"/>
  <c r="J10" i="4"/>
  <c r="H10" i="4"/>
  <c r="K10" i="4"/>
  <c r="H20" i="4"/>
  <c r="K20" i="4"/>
  <c r="J20" i="4"/>
  <c r="E20" i="14"/>
  <c r="I20" i="4"/>
  <c r="I24" i="4"/>
  <c r="I34" i="4"/>
  <c r="H44" i="4"/>
  <c r="K44" i="4"/>
  <c r="J44" i="4"/>
  <c r="I44" i="4"/>
  <c r="I48" i="4"/>
  <c r="L22" i="5"/>
  <c r="J22" i="5"/>
  <c r="F22" i="14"/>
  <c r="L29" i="5"/>
  <c r="K39" i="5"/>
  <c r="L39" i="5"/>
  <c r="I47" i="5"/>
  <c r="E12" i="14"/>
  <c r="AL12" i="14"/>
  <c r="AL23" i="14"/>
  <c r="L12" i="5"/>
  <c r="X12" i="14" s="1"/>
  <c r="H13" i="14"/>
  <c r="I13" i="14"/>
  <c r="J13" i="14"/>
  <c r="M13" i="6" s="1"/>
  <c r="F13" i="14"/>
  <c r="E13" i="14"/>
  <c r="D13" i="14"/>
  <c r="AH13" i="14" s="1"/>
  <c r="K7" i="4"/>
  <c r="E7" i="14"/>
  <c r="J17" i="4"/>
  <c r="K17" i="4" s="1"/>
  <c r="H31" i="4"/>
  <c r="J41" i="4"/>
  <c r="H55" i="4"/>
  <c r="J12" i="5"/>
  <c r="R12" i="14" s="1"/>
  <c r="K52" i="5"/>
  <c r="L52" i="5"/>
  <c r="M40" i="9"/>
  <c r="O43" i="9"/>
  <c r="E17" i="14"/>
  <c r="J32" i="14"/>
  <c r="M32" i="6" s="1"/>
  <c r="H32" i="14"/>
  <c r="E32" i="14"/>
  <c r="D32" i="14"/>
  <c r="I32" i="14"/>
  <c r="F32" i="14"/>
  <c r="H7" i="4"/>
  <c r="Q18" i="14"/>
  <c r="T18" i="14"/>
  <c r="N18" i="14"/>
  <c r="I31" i="4"/>
  <c r="K12" i="5"/>
  <c r="I17" i="5"/>
  <c r="O17" i="14" s="1"/>
  <c r="K27" i="5"/>
  <c r="I27" i="5"/>
  <c r="L27" i="5"/>
  <c r="J44" i="5"/>
  <c r="L44" i="5"/>
  <c r="I52" i="5"/>
  <c r="N40" i="9"/>
  <c r="E11" i="14"/>
  <c r="D11" i="14"/>
  <c r="AH11" i="14" s="1"/>
  <c r="L11" i="14" s="1"/>
  <c r="M11" i="14" s="1"/>
  <c r="J11" i="14"/>
  <c r="M11" i="6" s="1"/>
  <c r="I11" i="14"/>
  <c r="H11" i="14"/>
  <c r="AN26" i="14"/>
  <c r="AO26" i="14"/>
  <c r="AM26" i="14"/>
  <c r="AF26" i="14"/>
  <c r="AL26" i="14"/>
  <c r="O40" i="9"/>
  <c r="AM7" i="14"/>
  <c r="AO7" i="14"/>
  <c r="AN7" i="14"/>
  <c r="X9" i="14"/>
  <c r="R9" i="14"/>
  <c r="O9" i="14"/>
  <c r="U9" i="14"/>
  <c r="AH18" i="14"/>
  <c r="F27" i="14"/>
  <c r="AH27" i="14" s="1"/>
  <c r="F29" i="14"/>
  <c r="E55" i="14"/>
  <c r="K55" i="4"/>
  <c r="I12" i="5"/>
  <c r="O12" i="14" s="1"/>
  <c r="O7" i="14"/>
  <c r="G24" i="2" s="1"/>
  <c r="Z7" i="14"/>
  <c r="I28" i="2" s="1"/>
  <c r="R7" i="14"/>
  <c r="G25" i="2" s="1"/>
  <c r="J22" i="4"/>
  <c r="H22" i="4"/>
  <c r="E22" i="14"/>
  <c r="K22" i="4"/>
  <c r="J31" i="4"/>
  <c r="J55" i="4"/>
  <c r="J17" i="5"/>
  <c r="R17" i="14" s="1"/>
  <c r="J7" i="4"/>
  <c r="H12" i="4"/>
  <c r="I22" i="4"/>
  <c r="H32" i="4"/>
  <c r="K32" i="4"/>
  <c r="J32" i="4"/>
  <c r="I32" i="4"/>
  <c r="I36" i="4"/>
  <c r="I46" i="4"/>
  <c r="H56" i="4"/>
  <c r="K56" i="4"/>
  <c r="J56" i="4"/>
  <c r="I56" i="4"/>
  <c r="L17" i="5"/>
  <c r="X17" i="14" s="1"/>
  <c r="L34" i="5"/>
  <c r="J34" i="5"/>
  <c r="K44" i="5"/>
  <c r="J49" i="5"/>
  <c r="AL15" i="14"/>
  <c r="AN15" i="14"/>
  <c r="AM15" i="14"/>
  <c r="AO15" i="14"/>
  <c r="AN27" i="14"/>
  <c r="AM27" i="14"/>
  <c r="AL27" i="14"/>
  <c r="AO27" i="14"/>
  <c r="AN39" i="14"/>
  <c r="AM39" i="14"/>
  <c r="AO39" i="14"/>
  <c r="AL39" i="14"/>
  <c r="AO51" i="14"/>
  <c r="AN51" i="14"/>
  <c r="AM51" i="14"/>
  <c r="AL51" i="14"/>
  <c r="M37" i="9"/>
  <c r="O8" i="14"/>
  <c r="F34" i="14"/>
  <c r="H17" i="4"/>
  <c r="AE46" i="14"/>
  <c r="AF46" i="14" s="1"/>
  <c r="J46" i="14"/>
  <c r="M46" i="6" s="1"/>
  <c r="E32" i="1"/>
  <c r="I7" i="4"/>
  <c r="I13" i="5"/>
  <c r="L13" i="5"/>
  <c r="K13" i="5"/>
  <c r="J13" i="5"/>
  <c r="E34" i="1"/>
  <c r="H8" i="4"/>
  <c r="K8" i="4"/>
  <c r="J8" i="4"/>
  <c r="I8" i="4"/>
  <c r="I12" i="4"/>
  <c r="E29" i="14"/>
  <c r="K29" i="4"/>
  <c r="I29" i="4"/>
  <c r="K36" i="4"/>
  <c r="K53" i="4"/>
  <c r="I53" i="4"/>
  <c r="L10" i="5"/>
  <c r="J10" i="5"/>
  <c r="F24" i="14"/>
  <c r="L24" i="5"/>
  <c r="I34" i="5"/>
  <c r="K49" i="5"/>
  <c r="O37" i="9"/>
  <c r="U7" i="14"/>
  <c r="G26" i="2" s="1"/>
  <c r="AL8" i="14"/>
  <c r="Z9" i="14"/>
  <c r="AH25" i="14"/>
  <c r="X45" i="14"/>
  <c r="U45" i="14"/>
  <c r="R45" i="14"/>
  <c r="O45" i="14"/>
  <c r="Z45" i="14"/>
  <c r="J15" i="4"/>
  <c r="K15" i="4" s="1"/>
  <c r="J27" i="4"/>
  <c r="J39" i="4"/>
  <c r="J51" i="4"/>
  <c r="K8" i="5"/>
  <c r="L8" i="5" s="1"/>
  <c r="X8" i="14" s="1"/>
  <c r="K20" i="5"/>
  <c r="K32" i="5"/>
  <c r="L37" i="5"/>
  <c r="J40" i="5"/>
  <c r="J45" i="5"/>
  <c r="K50" i="5"/>
  <c r="N33" i="9"/>
  <c r="N44" i="9"/>
  <c r="AE8" i="14"/>
  <c r="AF8" i="14" s="1"/>
  <c r="E9" i="14"/>
  <c r="E10" i="14"/>
  <c r="E15" i="14"/>
  <c r="F18" i="14"/>
  <c r="H19" i="14"/>
  <c r="AE21" i="14"/>
  <c r="AF21" i="14" s="1"/>
  <c r="U38" i="14"/>
  <c r="Z38" i="14"/>
  <c r="X38" i="14"/>
  <c r="R38" i="14"/>
  <c r="K40" i="5"/>
  <c r="O43" i="14"/>
  <c r="X43" i="14"/>
  <c r="Z43" i="14"/>
  <c r="U43" i="14"/>
  <c r="R43" i="14"/>
  <c r="K45" i="5"/>
  <c r="AN34" i="14"/>
  <c r="AO34" i="14"/>
  <c r="AM34" i="14"/>
  <c r="AO46" i="14"/>
  <c r="AN46" i="14"/>
  <c r="AL46" i="14"/>
  <c r="AM46" i="14"/>
  <c r="R8" i="14"/>
  <c r="I19" i="14"/>
  <c r="F20" i="14"/>
  <c r="AF36" i="14"/>
  <c r="AE40" i="14"/>
  <c r="H11" i="4"/>
  <c r="H23" i="4"/>
  <c r="H35" i="4"/>
  <c r="W40" i="14"/>
  <c r="N40" i="14"/>
  <c r="Q40" i="14"/>
  <c r="H47" i="4"/>
  <c r="J11" i="5"/>
  <c r="I16" i="5"/>
  <c r="I28" i="5"/>
  <c r="I38" i="5"/>
  <c r="L40" i="5"/>
  <c r="I43" i="5"/>
  <c r="L45" i="5"/>
  <c r="M39" i="9"/>
  <c r="M50" i="9"/>
  <c r="AE7" i="14"/>
  <c r="AF7" i="14" s="1"/>
  <c r="E8" i="14"/>
  <c r="J8" i="14"/>
  <c r="M8" i="6" s="1"/>
  <c r="H10" i="14"/>
  <c r="AE12" i="14"/>
  <c r="AF12" i="14" s="1"/>
  <c r="AF27" i="14"/>
  <c r="Q45" i="14"/>
  <c r="N45" i="14"/>
  <c r="W45" i="14"/>
  <c r="T45" i="14"/>
  <c r="AM36" i="14"/>
  <c r="AL36" i="14"/>
  <c r="AO36" i="14"/>
  <c r="AN36" i="14"/>
  <c r="AM48" i="14"/>
  <c r="AL48" i="14"/>
  <c r="AO48" i="14"/>
  <c r="AN48" i="14"/>
  <c r="AH7" i="14"/>
  <c r="H14" i="14"/>
  <c r="F14" i="14"/>
  <c r="D19" i="14"/>
  <c r="F19" i="14"/>
  <c r="AN21" i="14"/>
  <c r="AM21" i="14"/>
  <c r="AL21" i="14"/>
  <c r="F21" i="14"/>
  <c r="D21" i="14"/>
  <c r="AH21" i="14" s="1"/>
  <c r="H21" i="14"/>
  <c r="E21" i="14"/>
  <c r="J22" i="14"/>
  <c r="M22" i="6" s="1"/>
  <c r="I22" i="14"/>
  <c r="D22" i="14"/>
  <c r="AH22" i="14" s="1"/>
  <c r="T40" i="14"/>
  <c r="K18" i="4"/>
  <c r="I40" i="4"/>
  <c r="H45" i="4"/>
  <c r="W50" i="14"/>
  <c r="T50" i="14"/>
  <c r="Q50" i="14"/>
  <c r="N50" i="14"/>
  <c r="K38" i="5"/>
  <c r="K43" i="5"/>
  <c r="I46" i="5"/>
  <c r="J51" i="5"/>
  <c r="K56" i="5"/>
  <c r="AO25" i="14"/>
  <c r="AN25" i="14"/>
  <c r="AN37" i="14"/>
  <c r="AL37" i="14"/>
  <c r="AO37" i="14"/>
  <c r="AM37" i="14"/>
  <c r="AO49" i="14"/>
  <c r="AN49" i="14"/>
  <c r="AM49" i="14"/>
  <c r="AL49" i="14"/>
  <c r="O31" i="9"/>
  <c r="O39" i="9"/>
  <c r="O42" i="9"/>
  <c r="N45" i="9"/>
  <c r="P50" i="9"/>
  <c r="J7" i="14"/>
  <c r="U8" i="14"/>
  <c r="I9" i="14"/>
  <c r="J10" i="14"/>
  <c r="M10" i="6" s="1"/>
  <c r="D12" i="14"/>
  <c r="AL18" i="14"/>
  <c r="J21" i="14"/>
  <c r="M21" i="6" s="1"/>
  <c r="W27" i="14"/>
  <c r="N27" i="14"/>
  <c r="T27" i="14"/>
  <c r="W39" i="14"/>
  <c r="T39" i="14"/>
  <c r="Q39" i="14"/>
  <c r="Q51" i="14"/>
  <c r="W51" i="14"/>
  <c r="T51" i="14"/>
  <c r="N51" i="14"/>
  <c r="X50" i="14"/>
  <c r="U50" i="14"/>
  <c r="O50" i="14"/>
  <c r="Z50" i="14"/>
  <c r="R50" i="14"/>
  <c r="U55" i="14"/>
  <c r="O55" i="14"/>
  <c r="Z55" i="14"/>
  <c r="X55" i="14"/>
  <c r="R55" i="14"/>
  <c r="AO30" i="14"/>
  <c r="AM30" i="14"/>
  <c r="AL30" i="14"/>
  <c r="AN30" i="14"/>
  <c r="AM42" i="14"/>
  <c r="AO42" i="14"/>
  <c r="AN42" i="14"/>
  <c r="AN54" i="14"/>
  <c r="AM54" i="14"/>
  <c r="AL54" i="14"/>
  <c r="AO54" i="14"/>
  <c r="K7" i="14"/>
  <c r="AE10" i="14"/>
  <c r="AF10" i="14" s="1"/>
  <c r="J12" i="14"/>
  <c r="M12" i="6" s="1"/>
  <c r="E14" i="14"/>
  <c r="E16" i="14"/>
  <c r="D16" i="14"/>
  <c r="AH16" i="14" s="1"/>
  <c r="K16" i="14" s="1"/>
  <c r="F16" i="14"/>
  <c r="I16" i="14"/>
  <c r="I17" i="14"/>
  <c r="AM20" i="14"/>
  <c r="AM25" i="14"/>
  <c r="AE28" i="14"/>
  <c r="K28" i="14"/>
  <c r="AF29" i="14"/>
  <c r="O38" i="14"/>
  <c r="AN43" i="14"/>
  <c r="AM43" i="14"/>
  <c r="AO43" i="14"/>
  <c r="AL43" i="14"/>
  <c r="AN55" i="14"/>
  <c r="AM55" i="14"/>
  <c r="AL55" i="14"/>
  <c r="AO55" i="14"/>
  <c r="AE9" i="14"/>
  <c r="AF9" i="14" s="1"/>
  <c r="J15" i="14"/>
  <c r="M15" i="6" s="1"/>
  <c r="D15" i="14"/>
  <c r="E19" i="14"/>
  <c r="D20" i="14"/>
  <c r="AH20" i="14" s="1"/>
  <c r="L20" i="14"/>
  <c r="T25" i="14"/>
  <c r="N25" i="14"/>
  <c r="I27" i="4"/>
  <c r="N37" i="14"/>
  <c r="W37" i="14"/>
  <c r="T37" i="14"/>
  <c r="Q37" i="14"/>
  <c r="I39" i="4"/>
  <c r="Q49" i="14"/>
  <c r="N49" i="14"/>
  <c r="T49" i="14"/>
  <c r="W49" i="14"/>
  <c r="I51" i="4"/>
  <c r="K37" i="5"/>
  <c r="I45" i="5"/>
  <c r="J50" i="5"/>
  <c r="J55" i="5"/>
  <c r="AN20" i="14"/>
  <c r="AL20" i="14"/>
  <c r="AO56" i="14"/>
  <c r="AN56" i="14"/>
  <c r="AM56" i="14"/>
  <c r="AL56" i="14"/>
  <c r="M33" i="9"/>
  <c r="G11" i="9" s="1"/>
  <c r="O38" i="9"/>
  <c r="M44" i="9"/>
  <c r="O49" i="9"/>
  <c r="I14" i="14"/>
  <c r="AF23" i="14"/>
  <c r="I24" i="14"/>
  <c r="AF24" i="14" s="1"/>
  <c r="Q25" i="14"/>
  <c r="Q27" i="14"/>
  <c r="AF30" i="14"/>
  <c r="D31" i="14"/>
  <c r="AH31" i="14" s="1"/>
  <c r="J31" i="14"/>
  <c r="M31" i="6" s="1"/>
  <c r="I31" i="14"/>
  <c r="H31" i="14"/>
  <c r="AF42" i="14"/>
  <c r="E26" i="14"/>
  <c r="D26" i="14"/>
  <c r="F28" i="14"/>
  <c r="D28" i="14"/>
  <c r="AH28" i="14" s="1"/>
  <c r="L28" i="14" s="1"/>
  <c r="M28" i="14" s="1"/>
  <c r="J28" i="14"/>
  <c r="M28" i="6" s="1"/>
  <c r="I28" i="14"/>
  <c r="F51" i="14"/>
  <c r="D23" i="14"/>
  <c r="E28" i="14"/>
  <c r="J35" i="14"/>
  <c r="M35" i="6" s="1"/>
  <c r="AE34" i="14"/>
  <c r="AF34" i="14" s="1"/>
  <c r="F46" i="14"/>
  <c r="AO38" i="14"/>
  <c r="AN38" i="14"/>
  <c r="AL38" i="14"/>
  <c r="AO50" i="14"/>
  <c r="AN50" i="14"/>
  <c r="AM50" i="14"/>
  <c r="AL50" i="14"/>
  <c r="AE18" i="14"/>
  <c r="AF18" i="14" s="1"/>
  <c r="H28" i="14"/>
  <c r="F31" i="14"/>
  <c r="H23" i="14"/>
  <c r="F23" i="14"/>
  <c r="E23" i="14"/>
  <c r="E24" i="14"/>
  <c r="AH24" i="14" s="1"/>
  <c r="F26" i="14"/>
  <c r="AE35" i="14"/>
  <c r="AF35" i="14" s="1"/>
  <c r="F35" i="14"/>
  <c r="H26" i="14"/>
  <c r="I52" i="14"/>
  <c r="F33" i="14"/>
  <c r="D46" i="14"/>
  <c r="AH46" i="14" s="1"/>
  <c r="K46" i="14" s="1"/>
  <c r="AO33" i="14"/>
  <c r="AM33" i="14"/>
  <c r="AL33" i="14"/>
  <c r="AN33" i="14"/>
  <c r="AO45" i="14"/>
  <c r="AM45" i="14"/>
  <c r="AL45" i="14"/>
  <c r="AN45" i="14"/>
  <c r="AE13" i="14"/>
  <c r="AE25" i="14"/>
  <c r="AF25" i="14" s="1"/>
  <c r="J26" i="14"/>
  <c r="M26" i="6" s="1"/>
  <c r="AF48" i="14"/>
  <c r="F48" i="14"/>
  <c r="H52" i="14"/>
  <c r="F36" i="14"/>
  <c r="L45" i="14"/>
  <c r="F37" i="14"/>
  <c r="AH37" i="14" s="1"/>
  <c r="AF41" i="14"/>
  <c r="H41" i="14"/>
  <c r="F41" i="14"/>
  <c r="E41" i="14"/>
  <c r="AH41" i="14" s="1"/>
  <c r="J41" i="14"/>
  <c r="M41" i="6" s="1"/>
  <c r="AH45" i="14"/>
  <c r="J52" i="14"/>
  <c r="M52" i="6" s="1"/>
  <c r="F52" i="14"/>
  <c r="E52" i="14"/>
  <c r="D52" i="14"/>
  <c r="D39" i="14"/>
  <c r="J40" i="14"/>
  <c r="M40" i="6" s="1"/>
  <c r="F40" i="14"/>
  <c r="D40" i="14"/>
  <c r="AH40" i="14" s="1"/>
  <c r="K40" i="14" s="1"/>
  <c r="H47" i="14"/>
  <c r="E47" i="14"/>
  <c r="D47" i="14"/>
  <c r="F56" i="14"/>
  <c r="I35" i="14"/>
  <c r="D36" i="14"/>
  <c r="AH36" i="14" s="1"/>
  <c r="AE39" i="14"/>
  <c r="AF39" i="14" s="1"/>
  <c r="H40" i="14"/>
  <c r="E44" i="14"/>
  <c r="AH44" i="14" s="1"/>
  <c r="J44" i="14"/>
  <c r="M44" i="6" s="1"/>
  <c r="H44" i="14"/>
  <c r="AE49" i="14"/>
  <c r="AF49" i="14" s="1"/>
  <c r="H25" i="14"/>
  <c r="D34" i="14"/>
  <c r="AH34" i="14" s="1"/>
  <c r="E36" i="14"/>
  <c r="F39" i="14"/>
  <c r="I40" i="14"/>
  <c r="AE43" i="14"/>
  <c r="AF43" i="14" s="1"/>
  <c r="F44" i="14"/>
  <c r="F47" i="14"/>
  <c r="K50" i="14"/>
  <c r="AF54" i="14"/>
  <c r="K31" i="14"/>
  <c r="AE31" i="14"/>
  <c r="AF31" i="14" s="1"/>
  <c r="H35" i="14"/>
  <c r="E35" i="14"/>
  <c r="D35" i="14"/>
  <c r="AH35" i="14" s="1"/>
  <c r="I44" i="14"/>
  <c r="AF44" i="14" s="1"/>
  <c r="I47" i="14"/>
  <c r="D29" i="14"/>
  <c r="AH29" i="14" s="1"/>
  <c r="K29" i="14" s="1"/>
  <c r="H36" i="14"/>
  <c r="AF38" i="14"/>
  <c r="J39" i="14"/>
  <c r="M39" i="6" s="1"/>
  <c r="J43" i="14"/>
  <c r="M43" i="6" s="1"/>
  <c r="H43" i="14"/>
  <c r="D43" i="14"/>
  <c r="AH43" i="14" s="1"/>
  <c r="J47" i="14"/>
  <c r="M47" i="6" s="1"/>
  <c r="AE51" i="14"/>
  <c r="AF51" i="14" s="1"/>
  <c r="J51" i="14"/>
  <c r="M51" i="6" s="1"/>
  <c r="AF53" i="14"/>
  <c r="E30" i="14"/>
  <c r="AE32" i="14"/>
  <c r="AF32" i="14" s="1"/>
  <c r="H39" i="14"/>
  <c r="E42" i="14"/>
  <c r="F49" i="14"/>
  <c r="H51" i="14"/>
  <c r="J53" i="14"/>
  <c r="M53" i="6" s="1"/>
  <c r="E54" i="14"/>
  <c r="L55" i="14"/>
  <c r="AE56" i="14"/>
  <c r="AF56" i="14" s="1"/>
  <c r="F30" i="14"/>
  <c r="J34" i="14"/>
  <c r="M34" i="6" s="1"/>
  <c r="AE37" i="14"/>
  <c r="AF37" i="14" s="1"/>
  <c r="F42" i="14"/>
  <c r="F54" i="14"/>
  <c r="H56" i="14"/>
  <c r="E33" i="14"/>
  <c r="D38" i="14"/>
  <c r="AH38" i="14" s="1"/>
  <c r="K38" i="14" s="1"/>
  <c r="D50" i="14"/>
  <c r="AH50" i="14" s="1"/>
  <c r="H54" i="14"/>
  <c r="J56" i="14"/>
  <c r="M56" i="6" s="1"/>
  <c r="E38" i="14"/>
  <c r="AE52" i="14"/>
  <c r="AF52" i="14" s="1"/>
  <c r="D55" i="14"/>
  <c r="AH55" i="14" s="1"/>
  <c r="E53" i="14"/>
  <c r="AH53" i="14" s="1"/>
  <c r="AE55" i="14"/>
  <c r="AF55" i="14" s="1"/>
  <c r="D51" i="14"/>
  <c r="AH51" i="14" s="1"/>
  <c r="F53" i="14"/>
  <c r="H55" i="14"/>
  <c r="D56" i="14"/>
  <c r="E56" i="14"/>
  <c r="AC11" i="14" l="1"/>
  <c r="AD11" i="14"/>
  <c r="AB11" i="14"/>
  <c r="AA11" i="14"/>
  <c r="AD28" i="14"/>
  <c r="AB28" i="14"/>
  <c r="AA28" i="14"/>
  <c r="AC28" i="14"/>
  <c r="Y37" i="14"/>
  <c r="V37" i="14"/>
  <c r="S37" i="14"/>
  <c r="K37" i="14"/>
  <c r="L37" i="14"/>
  <c r="P37" i="14"/>
  <c r="Y24" i="14"/>
  <c r="P24" i="14"/>
  <c r="K24" i="14"/>
  <c r="V24" i="14"/>
  <c r="S24" i="14"/>
  <c r="L24" i="14"/>
  <c r="M24" i="14" s="1"/>
  <c r="K44" i="14"/>
  <c r="V44" i="14"/>
  <c r="S44" i="14"/>
  <c r="L44" i="14"/>
  <c r="M44" i="14" s="1"/>
  <c r="P44" i="14"/>
  <c r="Y44" i="14"/>
  <c r="Y41" i="14"/>
  <c r="V41" i="14"/>
  <c r="S41" i="14"/>
  <c r="P41" i="14"/>
  <c r="L41" i="14"/>
  <c r="M41" i="14" s="1"/>
  <c r="K41" i="14"/>
  <c r="Y27" i="14"/>
  <c r="V27" i="14"/>
  <c r="P27" i="14"/>
  <c r="S27" i="14"/>
  <c r="L27" i="14"/>
  <c r="M27" i="14" s="1"/>
  <c r="K27" i="14"/>
  <c r="S53" i="14"/>
  <c r="Y53" i="14"/>
  <c r="L53" i="14"/>
  <c r="V53" i="14"/>
  <c r="P53" i="14"/>
  <c r="K53" i="14"/>
  <c r="O49" i="14"/>
  <c r="Z49" i="14"/>
  <c r="U49" i="14"/>
  <c r="R49" i="14"/>
  <c r="X49" i="14"/>
  <c r="R41" i="14"/>
  <c r="Z41" i="14"/>
  <c r="U41" i="14"/>
  <c r="O41" i="14"/>
  <c r="X41" i="14"/>
  <c r="AM14" i="14"/>
  <c r="AL14" i="14"/>
  <c r="AF14" i="14"/>
  <c r="AO14" i="14"/>
  <c r="AN14" i="14"/>
  <c r="Y22" i="14"/>
  <c r="V22" i="14"/>
  <c r="S22" i="14"/>
  <c r="L22" i="14"/>
  <c r="P22" i="14"/>
  <c r="Q8" i="14"/>
  <c r="N8" i="14"/>
  <c r="T8" i="14"/>
  <c r="W8" i="14"/>
  <c r="Q10" i="14"/>
  <c r="W10" i="14"/>
  <c r="T10" i="14"/>
  <c r="N10" i="14"/>
  <c r="S18" i="14"/>
  <c r="P18" i="14"/>
  <c r="K18" i="14"/>
  <c r="Y18" i="14"/>
  <c r="V18" i="14"/>
  <c r="Z32" i="14"/>
  <c r="X32" i="14"/>
  <c r="U32" i="14"/>
  <c r="R32" i="14"/>
  <c r="O32" i="14"/>
  <c r="AO13" i="14"/>
  <c r="AN13" i="14"/>
  <c r="AM13" i="14"/>
  <c r="AL13" i="14"/>
  <c r="M7" i="14"/>
  <c r="U15" i="14"/>
  <c r="R15" i="14"/>
  <c r="X15" i="14"/>
  <c r="Z15" i="14"/>
  <c r="O15" i="14"/>
  <c r="L14" i="14"/>
  <c r="K14" i="14"/>
  <c r="S51" i="14"/>
  <c r="P51" i="14"/>
  <c r="V51" i="14"/>
  <c r="Y51" i="14"/>
  <c r="O54" i="14"/>
  <c r="Z54" i="14"/>
  <c r="X54" i="14"/>
  <c r="U54" i="14"/>
  <c r="R54" i="14"/>
  <c r="V43" i="14"/>
  <c r="S43" i="14"/>
  <c r="P43" i="14"/>
  <c r="Y43" i="14"/>
  <c r="S35" i="14"/>
  <c r="P35" i="14"/>
  <c r="V35" i="14"/>
  <c r="Y35" i="14"/>
  <c r="AN40" i="14"/>
  <c r="AM40" i="14"/>
  <c r="AL40" i="14"/>
  <c r="AO40" i="14"/>
  <c r="L36" i="14"/>
  <c r="Y36" i="14"/>
  <c r="V36" i="14"/>
  <c r="P36" i="14"/>
  <c r="S36" i="14"/>
  <c r="K35" i="14"/>
  <c r="W28" i="14"/>
  <c r="N28" i="14"/>
  <c r="T28" i="14"/>
  <c r="Q28" i="14"/>
  <c r="AH12" i="14"/>
  <c r="AN22" i="14"/>
  <c r="AO22" i="14"/>
  <c r="AM22" i="14"/>
  <c r="AL22" i="14"/>
  <c r="O14" i="14"/>
  <c r="Z14" i="14"/>
  <c r="X14" i="14"/>
  <c r="U14" i="14"/>
  <c r="R14" i="14"/>
  <c r="Q9" i="14"/>
  <c r="W9" i="14"/>
  <c r="T9" i="14"/>
  <c r="N9" i="14"/>
  <c r="W29" i="14"/>
  <c r="Q29" i="14"/>
  <c r="T29" i="14"/>
  <c r="N29" i="14"/>
  <c r="W22" i="14"/>
  <c r="N22" i="14"/>
  <c r="Q22" i="14"/>
  <c r="T22" i="14"/>
  <c r="AL32" i="14"/>
  <c r="AO32" i="14"/>
  <c r="AN32" i="14"/>
  <c r="AM32" i="14"/>
  <c r="R10" i="14"/>
  <c r="Z10" i="14"/>
  <c r="X10" i="14"/>
  <c r="U10" i="14"/>
  <c r="O10" i="14"/>
  <c r="T42" i="14"/>
  <c r="Q42" i="14"/>
  <c r="W42" i="14"/>
  <c r="N42" i="14"/>
  <c r="W35" i="14"/>
  <c r="T35" i="14"/>
  <c r="Q35" i="14"/>
  <c r="N35" i="14"/>
  <c r="R39" i="14"/>
  <c r="O39" i="14"/>
  <c r="X39" i="14"/>
  <c r="U39" i="14"/>
  <c r="Z39" i="14"/>
  <c r="AO35" i="14"/>
  <c r="AN35" i="14"/>
  <c r="AL35" i="14"/>
  <c r="AM35" i="14"/>
  <c r="U48" i="14"/>
  <c r="R48" i="14"/>
  <c r="O48" i="14"/>
  <c r="Z48" i="14"/>
  <c r="X48" i="14"/>
  <c r="O26" i="14"/>
  <c r="Z26" i="14"/>
  <c r="X26" i="14"/>
  <c r="R26" i="14"/>
  <c r="U26" i="14"/>
  <c r="AH23" i="14"/>
  <c r="AF28" i="14"/>
  <c r="AH32" i="14"/>
  <c r="Q34" i="14"/>
  <c r="N34" i="14"/>
  <c r="W34" i="14"/>
  <c r="T34" i="14"/>
  <c r="T53" i="14"/>
  <c r="Q53" i="14"/>
  <c r="N53" i="14"/>
  <c r="W53" i="14"/>
  <c r="O42" i="14"/>
  <c r="X42" i="14"/>
  <c r="U42" i="14"/>
  <c r="R42" i="14"/>
  <c r="Z42" i="14"/>
  <c r="N36" i="14"/>
  <c r="W36" i="14"/>
  <c r="T36" i="14"/>
  <c r="Q36" i="14"/>
  <c r="AH39" i="14"/>
  <c r="AH48" i="14"/>
  <c r="N24" i="14"/>
  <c r="W24" i="14"/>
  <c r="Q24" i="14"/>
  <c r="T24" i="14"/>
  <c r="K22" i="14"/>
  <c r="AN31" i="14"/>
  <c r="AM31" i="14"/>
  <c r="AO31" i="14"/>
  <c r="AL31" i="14"/>
  <c r="AO9" i="14"/>
  <c r="AL9" i="14"/>
  <c r="AN9" i="14"/>
  <c r="AM9" i="14"/>
  <c r="W21" i="14"/>
  <c r="T21" i="14"/>
  <c r="Q21" i="14"/>
  <c r="N21" i="14"/>
  <c r="H39" i="1"/>
  <c r="N32" i="14"/>
  <c r="W32" i="14"/>
  <c r="T32" i="14"/>
  <c r="Q32" i="14"/>
  <c r="T46" i="14"/>
  <c r="Q46" i="14"/>
  <c r="W46" i="14"/>
  <c r="N46" i="14"/>
  <c r="V55" i="14"/>
  <c r="S55" i="14"/>
  <c r="P55" i="14"/>
  <c r="Y55" i="14"/>
  <c r="P34" i="14"/>
  <c r="Y34" i="14"/>
  <c r="V34" i="14"/>
  <c r="S34" i="14"/>
  <c r="AH52" i="14"/>
  <c r="S46" i="14"/>
  <c r="P46" i="14"/>
  <c r="Y46" i="14"/>
  <c r="V46" i="14"/>
  <c r="T23" i="14"/>
  <c r="Q23" i="14"/>
  <c r="W23" i="14"/>
  <c r="N23" i="14"/>
  <c r="R51" i="14"/>
  <c r="O51" i="14"/>
  <c r="X51" i="14"/>
  <c r="U51" i="14"/>
  <c r="Z51" i="14"/>
  <c r="K36" i="14"/>
  <c r="G12" i="9"/>
  <c r="L46" i="14"/>
  <c r="M46" i="14" s="1"/>
  <c r="AO11" i="14"/>
  <c r="AM11" i="14"/>
  <c r="AL11" i="14"/>
  <c r="AN11" i="14"/>
  <c r="Q7" i="14"/>
  <c r="E25" i="2" s="1"/>
  <c r="N7" i="14"/>
  <c r="E24" i="2" s="1"/>
  <c r="T7" i="14"/>
  <c r="E26" i="2" s="1"/>
  <c r="W7" i="14"/>
  <c r="E27" i="2" s="1"/>
  <c r="T48" i="14"/>
  <c r="N48" i="14"/>
  <c r="W48" i="14"/>
  <c r="Q48" i="14"/>
  <c r="AF11" i="14"/>
  <c r="T30" i="14"/>
  <c r="Q30" i="14"/>
  <c r="W30" i="14"/>
  <c r="N30" i="14"/>
  <c r="R56" i="14"/>
  <c r="O56" i="14"/>
  <c r="Z56" i="14"/>
  <c r="U56" i="14"/>
  <c r="X56" i="14"/>
  <c r="N52" i="14"/>
  <c r="W52" i="14"/>
  <c r="Q52" i="14"/>
  <c r="T52" i="14"/>
  <c r="Z37" i="14"/>
  <c r="U37" i="14"/>
  <c r="R37" i="14"/>
  <c r="X37" i="14"/>
  <c r="O37" i="14"/>
  <c r="U33" i="14"/>
  <c r="R33" i="14"/>
  <c r="O33" i="14"/>
  <c r="Z33" i="14"/>
  <c r="X33" i="14"/>
  <c r="R23" i="14"/>
  <c r="U23" i="14"/>
  <c r="O23" i="14"/>
  <c r="Z23" i="14"/>
  <c r="X23" i="14"/>
  <c r="AH33" i="14"/>
  <c r="P31" i="14"/>
  <c r="Y31" i="14"/>
  <c r="S31" i="14"/>
  <c r="V31" i="14"/>
  <c r="AL17" i="14"/>
  <c r="AO17" i="14"/>
  <c r="AN17" i="14"/>
  <c r="AM17" i="14"/>
  <c r="A7" i="2"/>
  <c r="M7" i="6"/>
  <c r="P21" i="14"/>
  <c r="V21" i="14"/>
  <c r="Y21" i="14"/>
  <c r="S21" i="14"/>
  <c r="L21" i="14"/>
  <c r="O24" i="14"/>
  <c r="Z24" i="14"/>
  <c r="X24" i="14"/>
  <c r="U24" i="14"/>
  <c r="R24" i="14"/>
  <c r="Q12" i="14"/>
  <c r="N12" i="14"/>
  <c r="T12" i="14"/>
  <c r="W12" i="14"/>
  <c r="W38" i="14"/>
  <c r="T38" i="14"/>
  <c r="Q38" i="14"/>
  <c r="N38" i="14"/>
  <c r="R30" i="14"/>
  <c r="X30" i="14"/>
  <c r="U30" i="14"/>
  <c r="Z30" i="14"/>
  <c r="O30" i="14"/>
  <c r="AH47" i="14"/>
  <c r="Z52" i="14"/>
  <c r="X52" i="14"/>
  <c r="R52" i="14"/>
  <c r="O52" i="14"/>
  <c r="U52" i="14"/>
  <c r="M45" i="14"/>
  <c r="L18" i="14"/>
  <c r="M18" i="14" s="1"/>
  <c r="AL52" i="14"/>
  <c r="AO52" i="14"/>
  <c r="AN52" i="14"/>
  <c r="AM52" i="14"/>
  <c r="AH54" i="14"/>
  <c r="AN28" i="14"/>
  <c r="AM28" i="14"/>
  <c r="AO28" i="14"/>
  <c r="AL28" i="14"/>
  <c r="S20" i="14"/>
  <c r="Y20" i="14"/>
  <c r="V20" i="14"/>
  <c r="P20" i="14"/>
  <c r="AO16" i="14"/>
  <c r="AN16" i="14"/>
  <c r="AM16" i="14"/>
  <c r="AL16" i="14"/>
  <c r="R21" i="14"/>
  <c r="O21" i="14"/>
  <c r="U21" i="14"/>
  <c r="Z21" i="14"/>
  <c r="X21" i="14"/>
  <c r="AF22" i="14"/>
  <c r="L40" i="14"/>
  <c r="M40" i="14" s="1"/>
  <c r="V11" i="14"/>
  <c r="P11" i="14"/>
  <c r="N17" i="14"/>
  <c r="W17" i="14"/>
  <c r="T17" i="14"/>
  <c r="Q17" i="14"/>
  <c r="AH17" i="14"/>
  <c r="AF16" i="14"/>
  <c r="N47" i="14"/>
  <c r="W47" i="14"/>
  <c r="T47" i="14"/>
  <c r="Q47" i="14"/>
  <c r="AF13" i="14"/>
  <c r="AH42" i="14"/>
  <c r="O31" i="14"/>
  <c r="X31" i="14"/>
  <c r="Z31" i="14"/>
  <c r="U31" i="14"/>
  <c r="R31" i="14"/>
  <c r="X46" i="14"/>
  <c r="U46" i="14"/>
  <c r="Z46" i="14"/>
  <c r="R46" i="14"/>
  <c r="O46" i="14"/>
  <c r="K20" i="14"/>
  <c r="M20" i="14" s="1"/>
  <c r="R16" i="14"/>
  <c r="O16" i="14"/>
  <c r="Z16" i="14"/>
  <c r="X16" i="14"/>
  <c r="U16" i="14"/>
  <c r="AF40" i="14"/>
  <c r="K21" i="14"/>
  <c r="X34" i="14"/>
  <c r="U34" i="14"/>
  <c r="R34" i="14"/>
  <c r="O34" i="14"/>
  <c r="Z34" i="14"/>
  <c r="Q11" i="14"/>
  <c r="S11" i="14" s="1"/>
  <c r="W11" i="14"/>
  <c r="Y11" i="14" s="1"/>
  <c r="N11" i="14"/>
  <c r="T11" i="14"/>
  <c r="Q56" i="14"/>
  <c r="N56" i="14"/>
  <c r="W56" i="14"/>
  <c r="T56" i="14"/>
  <c r="M55" i="14"/>
  <c r="Y29" i="14"/>
  <c r="V29" i="14"/>
  <c r="S29" i="14"/>
  <c r="P29" i="14"/>
  <c r="L29" i="14"/>
  <c r="M29" i="14" s="1"/>
  <c r="O47" i="14"/>
  <c r="Z47" i="14"/>
  <c r="X47" i="14"/>
  <c r="U47" i="14"/>
  <c r="R47" i="14"/>
  <c r="AH49" i="14"/>
  <c r="R36" i="14"/>
  <c r="O36" i="14"/>
  <c r="Z36" i="14"/>
  <c r="X36" i="14"/>
  <c r="U36" i="14"/>
  <c r="P28" i="14"/>
  <c r="Y28" i="14"/>
  <c r="V28" i="14"/>
  <c r="S28" i="14"/>
  <c r="N19" i="14"/>
  <c r="W19" i="14"/>
  <c r="T19" i="14"/>
  <c r="Q19" i="14"/>
  <c r="Y16" i="14"/>
  <c r="V16" i="14"/>
  <c r="S16" i="14"/>
  <c r="L16" i="14"/>
  <c r="M16" i="14" s="1"/>
  <c r="AH30" i="14"/>
  <c r="AH10" i="14"/>
  <c r="V13" i="14"/>
  <c r="L13" i="14"/>
  <c r="M13" i="14" s="1"/>
  <c r="K13" i="14"/>
  <c r="N31" i="14"/>
  <c r="W31" i="14"/>
  <c r="T31" i="14"/>
  <c r="Q31" i="14"/>
  <c r="AH56" i="14"/>
  <c r="L50" i="14"/>
  <c r="M50" i="14" s="1"/>
  <c r="V50" i="14"/>
  <c r="P50" i="14"/>
  <c r="Y50" i="14"/>
  <c r="S50" i="14"/>
  <c r="N54" i="14"/>
  <c r="T54" i="14"/>
  <c r="Q54" i="14"/>
  <c r="W54" i="14"/>
  <c r="K51" i="14"/>
  <c r="V45" i="14"/>
  <c r="S45" i="14"/>
  <c r="P45" i="14"/>
  <c r="K45" i="14"/>
  <c r="Y45" i="14"/>
  <c r="L31" i="14"/>
  <c r="M31" i="14" s="1"/>
  <c r="K43" i="14"/>
  <c r="K34" i="14"/>
  <c r="R28" i="14"/>
  <c r="O28" i="14"/>
  <c r="Z28" i="14"/>
  <c r="X28" i="14"/>
  <c r="U28" i="14"/>
  <c r="Q16" i="14"/>
  <c r="T16" i="14"/>
  <c r="W16" i="14"/>
  <c r="N16" i="14"/>
  <c r="P16" i="14" s="1"/>
  <c r="V25" i="14"/>
  <c r="S25" i="14"/>
  <c r="P25" i="14"/>
  <c r="K25" i="14"/>
  <c r="Y25" i="14"/>
  <c r="L25" i="14"/>
  <c r="W55" i="14"/>
  <c r="T55" i="14"/>
  <c r="N55" i="14"/>
  <c r="Q55" i="14"/>
  <c r="AH8" i="14"/>
  <c r="T13" i="14"/>
  <c r="W13" i="14"/>
  <c r="Y13" i="14" s="1"/>
  <c r="Q13" i="14"/>
  <c r="S13" i="14" s="1"/>
  <c r="N13" i="14"/>
  <c r="U25" i="14"/>
  <c r="R25" i="14"/>
  <c r="Z25" i="14"/>
  <c r="O25" i="14"/>
  <c r="X25" i="14"/>
  <c r="T43" i="14"/>
  <c r="W43" i="14"/>
  <c r="Q43" i="14"/>
  <c r="N43" i="14"/>
  <c r="P38" i="14"/>
  <c r="Y38" i="14"/>
  <c r="V38" i="14"/>
  <c r="L38" i="14"/>
  <c r="M38" i="14" s="1"/>
  <c r="S38" i="14"/>
  <c r="L51" i="14"/>
  <c r="M51" i="14" s="1"/>
  <c r="AM47" i="14"/>
  <c r="AL47" i="14"/>
  <c r="AF47" i="14"/>
  <c r="AO47" i="14"/>
  <c r="AN47" i="14"/>
  <c r="O44" i="14"/>
  <c r="Z44" i="14"/>
  <c r="X44" i="14"/>
  <c r="U44" i="14"/>
  <c r="R44" i="14"/>
  <c r="Q44" i="14"/>
  <c r="N44" i="14"/>
  <c r="W44" i="14"/>
  <c r="T44" i="14"/>
  <c r="Y40" i="14"/>
  <c r="V40" i="14"/>
  <c r="S40" i="14"/>
  <c r="P40" i="14"/>
  <c r="K55" i="14"/>
  <c r="Z35" i="14"/>
  <c r="U35" i="14"/>
  <c r="R35" i="14"/>
  <c r="O35" i="14"/>
  <c r="X35" i="14"/>
  <c r="AH26" i="14"/>
  <c r="AM24" i="14"/>
  <c r="AL24" i="14"/>
  <c r="AO24" i="14"/>
  <c r="AN24" i="14"/>
  <c r="AH15" i="14"/>
  <c r="N14" i="14"/>
  <c r="P14" i="14" s="1"/>
  <c r="Q14" i="14"/>
  <c r="S14" i="14" s="1"/>
  <c r="T14" i="14"/>
  <c r="V14" i="14" s="1"/>
  <c r="W14" i="14"/>
  <c r="Y14" i="14" s="1"/>
  <c r="G13" i="9"/>
  <c r="Z19" i="14"/>
  <c r="O19" i="14"/>
  <c r="U19" i="14"/>
  <c r="X19" i="14"/>
  <c r="R19" i="14"/>
  <c r="U20" i="14"/>
  <c r="Z20" i="14"/>
  <c r="X20" i="14"/>
  <c r="R20" i="14"/>
  <c r="O20" i="14"/>
  <c r="U18" i="14"/>
  <c r="R18" i="14"/>
  <c r="O18" i="14"/>
  <c r="Z18" i="14"/>
  <c r="X18" i="14"/>
  <c r="R29" i="14"/>
  <c r="O29" i="14"/>
  <c r="X29" i="14"/>
  <c r="Z29" i="14"/>
  <c r="U29" i="14"/>
  <c r="R13" i="14"/>
  <c r="O13" i="14"/>
  <c r="P13" i="14" s="1"/>
  <c r="Z13" i="14"/>
  <c r="X13" i="14"/>
  <c r="U13" i="14"/>
  <c r="Z22" i="14"/>
  <c r="X22" i="14"/>
  <c r="U22" i="14"/>
  <c r="R22" i="14"/>
  <c r="O22" i="14"/>
  <c r="W20" i="14"/>
  <c r="T20" i="14"/>
  <c r="N20" i="14"/>
  <c r="Q20" i="14"/>
  <c r="U53" i="14"/>
  <c r="R53" i="14"/>
  <c r="Z53" i="14"/>
  <c r="X53" i="14"/>
  <c r="O53" i="14"/>
  <c r="Q33" i="14"/>
  <c r="N33" i="14"/>
  <c r="T33" i="14"/>
  <c r="W33" i="14"/>
  <c r="AO44" i="14"/>
  <c r="AM44" i="14"/>
  <c r="AL44" i="14"/>
  <c r="AN44" i="14"/>
  <c r="L43" i="14"/>
  <c r="M43" i="14" s="1"/>
  <c r="R40" i="14"/>
  <c r="O40" i="14"/>
  <c r="X40" i="14"/>
  <c r="U40" i="14"/>
  <c r="Z40" i="14"/>
  <c r="T41" i="14"/>
  <c r="Q41" i="14"/>
  <c r="N41" i="14"/>
  <c r="W41" i="14"/>
  <c r="L35" i="14"/>
  <c r="M35" i="14" s="1"/>
  <c r="L34" i="14"/>
  <c r="Q26" i="14"/>
  <c r="N26" i="14"/>
  <c r="W26" i="14"/>
  <c r="T26" i="14"/>
  <c r="AH19" i="14"/>
  <c r="AN19" i="14"/>
  <c r="AL19" i="14"/>
  <c r="AF19" i="14"/>
  <c r="AO19" i="14"/>
  <c r="AM19" i="14"/>
  <c r="W15" i="14"/>
  <c r="T15" i="14"/>
  <c r="Q15" i="14"/>
  <c r="N15" i="14"/>
  <c r="O27" i="14"/>
  <c r="Z27" i="14"/>
  <c r="U27" i="14"/>
  <c r="R27" i="14"/>
  <c r="X27" i="14"/>
  <c r="AH9" i="14"/>
  <c r="AF17" i="14"/>
  <c r="AA20" i="14" l="1"/>
  <c r="AD20" i="14"/>
  <c r="AC20" i="14"/>
  <c r="AB20" i="14"/>
  <c r="AB31" i="14"/>
  <c r="AA31" i="14"/>
  <c r="AD31" i="14"/>
  <c r="AC31" i="14"/>
  <c r="M21" i="14"/>
  <c r="S7" i="14"/>
  <c r="AC44" i="14"/>
  <c r="AA44" i="14"/>
  <c r="AD44" i="14"/>
  <c r="AB44" i="14"/>
  <c r="AC46" i="14"/>
  <c r="AB46" i="14"/>
  <c r="AD46" i="14"/>
  <c r="AA46" i="14"/>
  <c r="V8" i="14"/>
  <c r="S8" i="14"/>
  <c r="P8" i="14"/>
  <c r="Y8" i="14"/>
  <c r="L8" i="14"/>
  <c r="K8" i="14"/>
  <c r="V17" i="14"/>
  <c r="P17" i="14"/>
  <c r="S17" i="14"/>
  <c r="Y17" i="14"/>
  <c r="K17" i="14"/>
  <c r="L17" i="14"/>
  <c r="M17" i="14" s="1"/>
  <c r="Y7" i="14"/>
  <c r="Y52" i="14"/>
  <c r="V52" i="14"/>
  <c r="S52" i="14"/>
  <c r="P52" i="14"/>
  <c r="L52" i="14"/>
  <c r="M52" i="14" s="1"/>
  <c r="K52" i="14"/>
  <c r="V7" i="14"/>
  <c r="P9" i="14"/>
  <c r="V9" i="14"/>
  <c r="S9" i="14"/>
  <c r="Y9" i="14"/>
  <c r="K9" i="14"/>
  <c r="L9" i="14"/>
  <c r="M9" i="14" s="1"/>
  <c r="P19" i="14"/>
  <c r="Y19" i="14"/>
  <c r="S19" i="14"/>
  <c r="L19" i="14"/>
  <c r="M19" i="14" s="1"/>
  <c r="K19" i="14"/>
  <c r="V19" i="14"/>
  <c r="AC50" i="14"/>
  <c r="AB50" i="14"/>
  <c r="AA50" i="14"/>
  <c r="AD50" i="14"/>
  <c r="V10" i="14"/>
  <c r="S10" i="14"/>
  <c r="Y10" i="14"/>
  <c r="P10" i="14"/>
  <c r="K10" i="14"/>
  <c r="L10" i="14"/>
  <c r="M10" i="14" s="1"/>
  <c r="V32" i="14"/>
  <c r="S32" i="14"/>
  <c r="Y32" i="14"/>
  <c r="L32" i="14"/>
  <c r="P32" i="14"/>
  <c r="K32" i="14"/>
  <c r="P56" i="14"/>
  <c r="Y56" i="14"/>
  <c r="V56" i="14"/>
  <c r="S56" i="14"/>
  <c r="L56" i="14"/>
  <c r="K56" i="14"/>
  <c r="V30" i="14"/>
  <c r="S30" i="14"/>
  <c r="L30" i="14"/>
  <c r="M30" i="14" s="1"/>
  <c r="K30" i="14"/>
  <c r="Y30" i="14"/>
  <c r="P30" i="14"/>
  <c r="V33" i="14"/>
  <c r="S33" i="14"/>
  <c r="P33" i="14"/>
  <c r="Y33" i="14"/>
  <c r="K33" i="14"/>
  <c r="L33" i="14"/>
  <c r="M33" i="14" s="1"/>
  <c r="AA24" i="14"/>
  <c r="AC24" i="14"/>
  <c r="AD24" i="14"/>
  <c r="AB24" i="14"/>
  <c r="AD40" i="14"/>
  <c r="AB40" i="14"/>
  <c r="AA40" i="14"/>
  <c r="AC40" i="14"/>
  <c r="P26" i="14"/>
  <c r="V26" i="14"/>
  <c r="S26" i="14"/>
  <c r="L26" i="14"/>
  <c r="M26" i="14" s="1"/>
  <c r="K26" i="14"/>
  <c r="Y26" i="14"/>
  <c r="AC16" i="14"/>
  <c r="AB16" i="14"/>
  <c r="AD16" i="14"/>
  <c r="AA16" i="14"/>
  <c r="AD29" i="14"/>
  <c r="AC29" i="14"/>
  <c r="AA29" i="14"/>
  <c r="AB29" i="14"/>
  <c r="P54" i="14"/>
  <c r="Y54" i="14"/>
  <c r="S54" i="14"/>
  <c r="K54" i="14"/>
  <c r="V54" i="14"/>
  <c r="L54" i="14"/>
  <c r="L47" i="14"/>
  <c r="S47" i="14"/>
  <c r="P47" i="14"/>
  <c r="Y47" i="14"/>
  <c r="V47" i="14"/>
  <c r="K47" i="14"/>
  <c r="AD41" i="14"/>
  <c r="AC41" i="14"/>
  <c r="AB41" i="14"/>
  <c r="AA41" i="14"/>
  <c r="AD13" i="14"/>
  <c r="AC13" i="14"/>
  <c r="AB13" i="14"/>
  <c r="AA13" i="14"/>
  <c r="AB55" i="14"/>
  <c r="AA55" i="14"/>
  <c r="AD55" i="14"/>
  <c r="AC55" i="14"/>
  <c r="AD18" i="14"/>
  <c r="AA18" i="14"/>
  <c r="AC18" i="14"/>
  <c r="AB18" i="14"/>
  <c r="P49" i="14"/>
  <c r="Y49" i="14"/>
  <c r="V49" i="14"/>
  <c r="S49" i="14"/>
  <c r="L49" i="14"/>
  <c r="M49" i="14" s="1"/>
  <c r="K49" i="14"/>
  <c r="AD45" i="14"/>
  <c r="AC45" i="14"/>
  <c r="AA45" i="14"/>
  <c r="AB45" i="14"/>
  <c r="V15" i="14"/>
  <c r="Y15" i="14"/>
  <c r="S15" i="14"/>
  <c r="L15" i="14"/>
  <c r="P15" i="14"/>
  <c r="K15" i="14"/>
  <c r="AD51" i="14"/>
  <c r="AC51" i="14"/>
  <c r="AB51" i="14"/>
  <c r="AA51" i="14"/>
  <c r="M25" i="14"/>
  <c r="Y42" i="14"/>
  <c r="V42" i="14"/>
  <c r="S42" i="14"/>
  <c r="K42" i="14"/>
  <c r="P42" i="14"/>
  <c r="L42" i="14"/>
  <c r="M42" i="14" s="1"/>
  <c r="M36" i="14"/>
  <c r="M14" i="14"/>
  <c r="M53" i="14"/>
  <c r="V48" i="14"/>
  <c r="S48" i="14"/>
  <c r="L48" i="14"/>
  <c r="M48" i="14" s="1"/>
  <c r="Y48" i="14"/>
  <c r="P48" i="14"/>
  <c r="K48" i="14"/>
  <c r="AB43" i="14"/>
  <c r="AA43" i="14"/>
  <c r="AD43" i="14"/>
  <c r="AC43" i="14"/>
  <c r="M34" i="14"/>
  <c r="AC38" i="14"/>
  <c r="AB38" i="14"/>
  <c r="AD38" i="14"/>
  <c r="AA38" i="14"/>
  <c r="AC35" i="14"/>
  <c r="AB35" i="14"/>
  <c r="AD35" i="14"/>
  <c r="AA35" i="14"/>
  <c r="P7" i="14"/>
  <c r="P39" i="14"/>
  <c r="S39" i="14"/>
  <c r="Y39" i="14"/>
  <c r="V39" i="14"/>
  <c r="L39" i="14"/>
  <c r="K39" i="14"/>
  <c r="Y12" i="14"/>
  <c r="V12" i="14"/>
  <c r="K12" i="14"/>
  <c r="S12" i="14"/>
  <c r="P12" i="14"/>
  <c r="L12" i="14"/>
  <c r="AA7" i="14"/>
  <c r="AB7" i="14"/>
  <c r="AD7" i="14"/>
  <c r="AC7" i="14"/>
  <c r="M22" i="14"/>
  <c r="S23" i="14"/>
  <c r="Y23" i="14"/>
  <c r="V23" i="14"/>
  <c r="P23" i="14"/>
  <c r="L23" i="14"/>
  <c r="K23" i="14"/>
  <c r="AB27" i="14"/>
  <c r="AA27" i="14"/>
  <c r="AD27" i="14"/>
  <c r="AC27" i="14"/>
  <c r="M37" i="14"/>
  <c r="AC22" i="14" l="1"/>
  <c r="AA22" i="14"/>
  <c r="AD22" i="14"/>
  <c r="AB22" i="14"/>
  <c r="M8" i="14"/>
  <c r="I33" i="1"/>
  <c r="I32" i="1"/>
  <c r="I31" i="1"/>
  <c r="I34" i="1"/>
  <c r="I9" i="1"/>
  <c r="M39" i="14"/>
  <c r="I25" i="2"/>
  <c r="H41" i="1"/>
  <c r="AD53" i="14"/>
  <c r="AC53" i="14"/>
  <c r="AA53" i="14"/>
  <c r="AB53" i="14"/>
  <c r="AD21" i="14"/>
  <c r="AB21" i="14"/>
  <c r="AA21" i="14"/>
  <c r="AC21" i="14"/>
  <c r="AC9" i="14"/>
  <c r="AD9" i="14"/>
  <c r="AB9" i="14"/>
  <c r="AA9" i="14"/>
  <c r="AD48" i="14"/>
  <c r="AA48" i="14"/>
  <c r="AB48" i="14"/>
  <c r="AC48" i="14"/>
  <c r="AB19" i="14"/>
  <c r="AA19" i="14"/>
  <c r="AD19" i="14"/>
  <c r="AC19" i="14"/>
  <c r="AD37" i="14"/>
  <c r="AA37" i="14"/>
  <c r="AC37" i="14"/>
  <c r="AB37" i="14"/>
  <c r="AD36" i="14"/>
  <c r="AA36" i="14"/>
  <c r="AC36" i="14"/>
  <c r="AB36" i="14"/>
  <c r="I27" i="2"/>
  <c r="H43" i="1"/>
  <c r="AD52" i="14"/>
  <c r="AC52" i="14"/>
  <c r="AB52" i="14"/>
  <c r="AA52" i="14"/>
  <c r="AA42" i="14"/>
  <c r="AD42" i="14"/>
  <c r="AC42" i="14"/>
  <c r="AB42" i="14"/>
  <c r="AD17" i="14"/>
  <c r="AB17" i="14"/>
  <c r="AA17" i="14"/>
  <c r="AC17" i="14"/>
  <c r="AB26" i="14"/>
  <c r="AD26" i="14"/>
  <c r="AC26" i="14"/>
  <c r="AA26" i="14"/>
  <c r="G32" i="1"/>
  <c r="G33" i="1"/>
  <c r="E9" i="1"/>
  <c r="G31" i="1"/>
  <c r="G35" i="1"/>
  <c r="G34" i="1"/>
  <c r="M12" i="14"/>
  <c r="I24" i="2"/>
  <c r="H40" i="1"/>
  <c r="M15" i="14"/>
  <c r="M47" i="14"/>
  <c r="AD25" i="14"/>
  <c r="AA25" i="14"/>
  <c r="AC25" i="14"/>
  <c r="AB25" i="14"/>
  <c r="AD33" i="14"/>
  <c r="AC33" i="14"/>
  <c r="AA33" i="14"/>
  <c r="AB33" i="14"/>
  <c r="AC49" i="14"/>
  <c r="AB49" i="14"/>
  <c r="AA49" i="14"/>
  <c r="AD49" i="14"/>
  <c r="M23" i="14"/>
  <c r="M54" i="14"/>
  <c r="M32" i="14"/>
  <c r="AB34" i="14"/>
  <c r="AC34" i="14"/>
  <c r="AA34" i="14"/>
  <c r="AD34" i="14"/>
  <c r="AD30" i="14"/>
  <c r="AC30" i="14"/>
  <c r="AA30" i="14"/>
  <c r="AB30" i="14"/>
  <c r="AB10" i="14"/>
  <c r="AD10" i="14"/>
  <c r="AA10" i="14"/>
  <c r="AC10" i="14"/>
  <c r="I26" i="2"/>
  <c r="H42" i="1"/>
  <c r="M56" i="14"/>
  <c r="AA14" i="14"/>
  <c r="AB14" i="14"/>
  <c r="AD14" i="14"/>
  <c r="AC14" i="14"/>
  <c r="AD39" i="14" l="1"/>
  <c r="AB39" i="14"/>
  <c r="AA39" i="14"/>
  <c r="AC39" i="14"/>
  <c r="AD56" i="14"/>
  <c r="AC56" i="14"/>
  <c r="AB56" i="14"/>
  <c r="AA56" i="14"/>
  <c r="AD23" i="14"/>
  <c r="AC23" i="14"/>
  <c r="AB23" i="14"/>
  <c r="AA23" i="14"/>
  <c r="AA47" i="14"/>
  <c r="AC47" i="14"/>
  <c r="AB47" i="14"/>
  <c r="AD47" i="14"/>
  <c r="AD15" i="14"/>
  <c r="AC15" i="14"/>
  <c r="AB15" i="14"/>
  <c r="AA15" i="14"/>
  <c r="AC8" i="14"/>
  <c r="AD8" i="14"/>
  <c r="AB8" i="14"/>
  <c r="AA8" i="14"/>
  <c r="A12" i="1"/>
  <c r="A16" i="9"/>
  <c r="AA32" i="14"/>
  <c r="AD32" i="14"/>
  <c r="AB32" i="14"/>
  <c r="AC32" i="14"/>
  <c r="AB54" i="14"/>
  <c r="AA54" i="14"/>
  <c r="AD54" i="14"/>
  <c r="AC54" i="14"/>
  <c r="AD12" i="14"/>
  <c r="AC12" i="14"/>
  <c r="AB12" i="14"/>
  <c r="AA12" i="14"/>
  <c r="E11" i="9" l="1"/>
  <c r="I11" i="9" s="1"/>
  <c r="K31" i="1"/>
  <c r="E12" i="9"/>
  <c r="I12" i="9" s="1"/>
  <c r="K32" i="1"/>
  <c r="K33" i="1"/>
  <c r="E13" i="9"/>
  <c r="I13" i="9" s="1"/>
  <c r="K35" i="1"/>
  <c r="E14" i="9"/>
  <c r="I14" i="9" s="1"/>
</calcChain>
</file>

<file path=xl/sharedStrings.xml><?xml version="1.0" encoding="utf-8"?>
<sst xmlns="http://schemas.openxmlformats.org/spreadsheetml/2006/main" count="1385" uniqueCount="453">
  <si>
    <t>Opportunity Cost • Security</t>
  </si>
  <si>
    <t>A guided comparison of security work, protection and resources  |  Improved edition 6.2</t>
  </si>
  <si>
    <t>Start with one process, not the entire catalog. C001–C011 are examples; C012–C050 are prepared for live cases. Blue cells are inputs. Blank means unknown; a numeric 0 means confirmed zero.</t>
  </si>
  <si>
    <t>LIVE CASES</t>
  </si>
  <si>
    <t>APPROVED FORECASTS</t>
  </si>
  <si>
    <t>MEASURED / ELIGIBLE</t>
  </si>
  <si>
    <t>A clear path through one case</t>
  </si>
  <si>
    <t>Read C001 as an example, then select C012 for your own case.</t>
  </si>
  <si>
    <t>Set type to Live. Name one process, owner, protection purpose and proposed change.</t>
  </si>
  <si>
    <t>Enter current and full proposed annual workload, cash costs, transition cost and sources.</t>
  </si>
  <si>
    <t>Record local evidence, clear the challenge review and approve an effective date.</t>
  </si>
  <si>
    <t>Add period-backed actual results when implemented. Reinvestment keeps cash separate.</t>
  </si>
  <si>
    <t>Live portfolio — model potential is not an approved resource</t>
  </si>
  <si>
    <t>Annual change</t>
  </si>
  <si>
    <t>Modeled potential</t>
  </si>
  <si>
    <t>Approved forecast</t>
  </si>
  <si>
    <t>Measured</t>
  </si>
  <si>
    <t>Planning supply</t>
  </si>
  <si>
    <t>Business hours</t>
  </si>
  <si>
    <t>Specialist-team hours</t>
  </si>
  <si>
    <t>Recurring cash change</t>
  </si>
  <si>
    <t>Time-valued benefit • not cash</t>
  </si>
  <si>
    <t>Not spendable</t>
  </si>
  <si>
    <t>One-time funding required</t>
  </si>
  <si>
    <t>Not future funding</t>
  </si>
  <si>
    <t>Example portfolio — illustrative assumptions, excluded from the live plan</t>
  </si>
  <si>
    <t>Current annual cost</t>
  </si>
  <si>
    <t>Net business hours</t>
  </si>
  <si>
    <t>Net specialist hours</t>
  </si>
  <si>
    <t>Time-valued benefit</t>
  </si>
  <si>
    <t>Capacity: 50 prepared case IDs and 20 demand rows. Tables support filtering and whole-table sorting; key-based links keep reviews attached to their cases. Adding arbitrary rows is not supported. Formulas are visibly separated but the workbook is not access-controlled: retain a baseline copy and do not overwrite calculated cells.</t>
  </si>
  <si>
    <t>Your case at a glance</t>
  </si>
  <si>
    <t>Select a case ID. This is a read-only summary; use the edit links below to enter data in its keyed input rows.</t>
  </si>
  <si>
    <t>C001</t>
  </si>
  <si>
    <t>Scope and proposed change</t>
  </si>
  <si>
    <t>Activity</t>
  </si>
  <si>
    <t>Process / scope</t>
  </si>
  <si>
    <t>Protection purpose</t>
  </si>
  <si>
    <t>Chosen proposal</t>
  </si>
  <si>
    <t>Change / retained work</t>
  </si>
  <si>
    <t>Annual comparison — current minus proposed; positive means a reduction</t>
  </si>
  <si>
    <t>Metric</t>
  </si>
  <si>
    <t>Current</t>
  </si>
  <si>
    <t>Proposed</t>
  </si>
  <si>
    <t>Change / benefit</t>
  </si>
  <si>
    <t>Business hours / year</t>
  </si>
  <si>
    <t>Specialist hours / year</t>
  </si>
  <si>
    <t>Recurring cash / year</t>
  </si>
  <si>
    <t>Cost including valued time / year</t>
  </si>
  <si>
    <t>One-time implementation cost is additional. Time-valued benefit is not a cash saving.</t>
  </si>
  <si>
    <t>Decision, evidence and actual measurement</t>
  </si>
  <si>
    <t>Local confidence</t>
  </si>
  <si>
    <t>Decision</t>
  </si>
  <si>
    <t>Benefit stage</t>
  </si>
  <si>
    <t>Evidence reference</t>
  </si>
  <si>
    <t>Challenge review</t>
  </si>
  <si>
    <t>Measurement status</t>
  </si>
  <si>
    <t>Measured result</t>
  </si>
  <si>
    <t>Edit this case — links follow the case ID even after sorting</t>
  </si>
  <si>
    <t>A workbook estimate does not authorize a control change. Confirm protection, obligations, rare-event exposure and a like-for-like alternative. Examples are hypotheses for comparison—not recommendations to retire the named controls.</t>
  </si>
  <si>
    <t>01  Define the case</t>
  </si>
  <si>
    <t>Blue cells are editable. Use one activity in one process. Start a live case in C012; keep example records as Example.</t>
  </si>
  <si>
    <t>Case ID</t>
  </si>
  <si>
    <t>Case type</t>
  </si>
  <si>
    <t>Case owner</t>
  </si>
  <si>
    <t>What changes / remains</t>
  </si>
  <si>
    <t>Assumptions / scope notes</t>
  </si>
  <si>
    <t>Example</t>
  </si>
  <si>
    <t>Document classification prompts</t>
  </si>
  <si>
    <t>Illustrative organization; replace with a precise local process.</t>
  </si>
  <si>
    <t>Example only</t>
  </si>
  <si>
    <t>Apply appropriate handling to sensitive information, including data leaving its original context.</t>
  </si>
  <si>
    <t>Replace</t>
  </si>
  <si>
    <t>Full post-change operating profile; unchanged work is included.</t>
  </si>
  <si>
    <t>Illustrative, unvalidated assumptions migrated from the attached v5 workbook.</t>
  </si>
  <si>
    <t>C002</t>
  </si>
  <si>
    <t>Periodic password changes</t>
  </si>
  <si>
    <t>Reduce the risk of compromised human authentication secrets.</t>
  </si>
  <si>
    <t>C003</t>
  </si>
  <si>
    <t>Awareness training and phishing exercises</t>
  </si>
  <si>
    <t>Build relevant security capabilities, reliable reporting and appropriate responses.</t>
  </si>
  <si>
    <t>Simplify</t>
  </si>
  <si>
    <t>C004</t>
  </si>
  <si>
    <t>Quarterly access reviews</t>
  </si>
  <si>
    <t>Remove unnecessary access and identify inappropriate privileged access.</t>
  </si>
  <si>
    <t>C005</t>
  </si>
  <si>
    <t>Supplier security questionnaires</t>
  </si>
  <si>
    <t>Understand and manage supplier access, exposure and operational dependency.</t>
  </si>
  <si>
    <t>C006</t>
  </si>
  <si>
    <t>Vulnerability remediation prioritization</t>
  </si>
  <si>
    <t>Reduce exploitable weaknesses according to reachability and business consequences.</t>
  </si>
  <si>
    <t>C007</t>
  </si>
  <si>
    <t>Workplace access restrictions</t>
  </si>
  <si>
    <t>Limit unauthorized data movement and access while supporting legitimate work.</t>
  </si>
  <si>
    <t>C008</t>
  </si>
  <si>
    <t>Policy and risk assessment workshops</t>
  </si>
  <si>
    <t>Enable risk-informed decisions and communicate clear security expectations.</t>
  </si>
  <si>
    <t>C009</t>
  </si>
  <si>
    <t>Phishing-resistant authentication</t>
  </si>
  <si>
    <t>Resist credential theft and phishing-mediated account compromise.</t>
  </si>
  <si>
    <t>Retain</t>
  </si>
  <si>
    <t>Retain current protection and operating profile.</t>
  </si>
  <si>
    <t>C010</t>
  </si>
  <si>
    <t>Endpoint detection and response</t>
  </si>
  <si>
    <t>Detect and respond to compromise within a suitable operational window.</t>
  </si>
  <si>
    <t>C011</t>
  </si>
  <si>
    <t>Critical-service recovery tests</t>
  </si>
  <si>
    <t>Demonstrate restoration of critical services under credible disruption scenarios.</t>
  </si>
  <si>
    <t>C012</t>
  </si>
  <si>
    <t>Inactive</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</si>
  <si>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</si>
  <si>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</si>
  <si>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</si>
  <si>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</si>
  <si>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</si>
  <si>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</si>
  <si>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</si>
  <si>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</si>
  <si>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</si>
  <si>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</si>
  <si>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</si>
  <si>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</si>
  <si>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</si>
  <si>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</si>
  <si>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</si>
  <si>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</si>
  <si>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</si>
  <si>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</si>
  <si>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</si>
  <si>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</si>
  <si>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</si>
  <si>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</si>
  <si>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</si>
  <si>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</si>
  <si>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</si>
  <si>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</si>
  <si>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</si>
  <si>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</si>
  <si>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</si>
  <si>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</si>
  <si>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</si>
  <si>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</si>
  <si>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</si>
  <si>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</si>
  <si>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</si>
  <si>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</si>
  <si>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</si>
  <si>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</si>
  <si>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02a  Current annual workload and cost</t>
  </si>
  <si>
    <t>Enter required annual figures and confirmed zeros. Cash means non-labor spend; employment cost is valued through hours. Execution hours apply to the selected group; additional specialist hours are separate.</t>
  </si>
  <si>
    <t>Execution group</t>
  </si>
  <si>
    <t>Execution h/year</t>
  </si>
  <si>
    <t>Additional specialist h/year</t>
  </si>
  <si>
    <t>Recurring cash €/year</t>
  </si>
  <si>
    <t>Estimate / measurement source</t>
  </si>
  <si>
    <t>Input status</t>
  </si>
  <si>
    <t>Business h/year</t>
  </si>
  <si>
    <t>Specialist h/year</t>
  </si>
  <si>
    <t>Time cost €/year</t>
  </si>
  <si>
    <t>Total cost €/year</t>
  </si>
  <si>
    <t>Staff</t>
  </si>
  <si>
    <t>Original example 1; annual hours retained from source. Not measured.</t>
  </si>
  <si>
    <t>Original example 2; annual hours retained from source. Not measured.</t>
  </si>
  <si>
    <t>Original example 3; annual hours retained from source. Not measured.</t>
  </si>
  <si>
    <t>Management</t>
  </si>
  <si>
    <t>Original example 4; annual hours retained from source. Not measured.</t>
  </si>
  <si>
    <t>Specialist</t>
  </si>
  <si>
    <t>Original example 5; annual hours retained from source. Not measured.</t>
  </si>
  <si>
    <t>Original example 6; annual hours retained from source. Not measured.</t>
  </si>
  <si>
    <t>Original example 7; annual hours retained from source. Not measured.</t>
  </si>
  <si>
    <t>Original example 8; annual hours retained from source. Not measured.</t>
  </si>
  <si>
    <t>Original example 9; annual hours retained from source. Not measured.</t>
  </si>
  <si>
    <t>Original example 10; annual hours retained from source. Not measured.</t>
  </si>
  <si>
    <t>Original example 11; annual hours retained from source. Not measured.</t>
  </si>
  <si>
    <t>02b  Proposed annual workload and cost</t>
  </si>
  <si>
    <t>Enter the full post-change profile: unchanged work, fixed costs and transition effort. Cash means non-labor spend, not employment cost already valued through hours. No relevance score chooses the scenario.</t>
  </si>
  <si>
    <t>One-time cost €</t>
  </si>
  <si>
    <t>Original proposed example 1; assumed full annual profile. Not validated.</t>
  </si>
  <si>
    <t>Original proposed example 2; assumed full annual profile. Not validated.</t>
  </si>
  <si>
    <t>Original proposed example 3; assumed full annual profile. Not validated.</t>
  </si>
  <si>
    <t>Original proposed example 4; assumed full annual profile. Not validated.</t>
  </si>
  <si>
    <t>Original proposed example 5; assumed full annual profile. Not validated.</t>
  </si>
  <si>
    <t>Original proposed example 6; assumed full annual profile. Not validated.</t>
  </si>
  <si>
    <t>Original proposed example 7; assumed full annual profile. Not validated.</t>
  </si>
  <si>
    <t>Original proposed example 8; assumed full annual profile. Not validated.</t>
  </si>
  <si>
    <t>Retain proposal: current annual profile carried forward; no assumed release.</t>
  </si>
  <si>
    <t>03  Review evidence and record the decision</t>
  </si>
  <si>
    <t>Planning needs positive approval, a cleared challenge review, local evidence and an effective date. A modeled hypothesis is not an allocatable resource.</t>
  </si>
  <si>
    <t>Confidence in local evidence</t>
  </si>
  <si>
    <t>Protection outcome</t>
  </si>
  <si>
    <t>Evidence / pilot reference</t>
  </si>
  <si>
    <t>Human decision</t>
  </si>
  <si>
    <t>Approver</t>
  </si>
  <si>
    <t>Decision date</t>
  </si>
  <si>
    <t>Effective / available from</t>
  </si>
  <si>
    <t>Usable business time %</t>
  </si>
  <si>
    <t>Usable specialist time %</t>
  </si>
  <si>
    <t>Risk acceptance reference</t>
  </si>
  <si>
    <t>Next action • calculated</t>
  </si>
  <si>
    <t>Hypothesis</t>
  </si>
  <si>
    <t>Not assessed</t>
  </si>
  <si>
    <t>Illustrative scenario; no local validation.</t>
  </si>
  <si>
    <t>Open</t>
  </si>
  <si>
    <t>Modeled</t>
  </si>
  <si>
    <t>03b  Challenge the proposal</t>
  </si>
  <si>
    <t>Answer Yes only after checking. No or an unresolved concern blocks planning. Unchecked is not approval. Review the purpose, rare failures and skills—not just the arithmetic.</t>
  </si>
  <si>
    <t>Reviewer</t>
  </si>
  <si>
    <t>Review date</t>
  </si>
  <si>
    <t>Protection purpose checked</t>
  </si>
  <si>
    <t>Full alternative cost checked</t>
  </si>
  <si>
    <t>Binding requirements checked</t>
  </si>
  <si>
    <t>Rare failures / defense depth checked</t>
  </si>
  <si>
    <t>Overlap / double count checked</t>
  </si>
  <si>
    <t>Capacity skills and timing checked</t>
  </si>
  <si>
    <t>Unresolved concern</t>
  </si>
  <si>
    <t>Review result</t>
  </si>
  <si>
    <t>Unchecked</t>
  </si>
  <si>
    <t>04  Record measured results</t>
  </si>
  <si>
    <t>Enter signed annual changes, not forecast values. Positive means released time / lower cash spend. Store fixed measurements, a period, evidence and verification; forecasts never overwrite these.</t>
  </si>
  <si>
    <t>Measurement basis</t>
  </si>
  <si>
    <t>Period start</t>
  </si>
  <si>
    <t>Period end</t>
  </si>
  <si>
    <t>Business hours saved / year</t>
  </si>
  <si>
    <t>Specialist hours saved / year</t>
  </si>
  <si>
    <t>Recurring cash change €/year</t>
  </si>
  <si>
    <t>Labor-value change €/year • excludes cash</t>
  </si>
  <si>
    <t>Measurement evidence</t>
  </si>
  <si>
    <t>Verified by</t>
  </si>
  <si>
    <t>Verification date</t>
  </si>
  <si>
    <t>Normalization / comparison basis</t>
  </si>
  <si>
    <t>05  Reinvestment and funding</t>
  </si>
  <si>
    <t>Planning supply is live, approved and gated. Cash is never substituted by the euro value of time. Positive hours must match the destination's skills and timing.</t>
  </si>
  <si>
    <t>Selected planning basis and resource balance</t>
  </si>
  <si>
    <t>Planning basis</t>
  </si>
  <si>
    <t>Resource</t>
  </si>
  <si>
    <t>Eligible supply</t>
  </si>
  <si>
    <t>Additional demand</t>
  </si>
  <si>
    <t>Balance / funding need</t>
  </si>
  <si>
    <t>Specialist-team hours / year</t>
  </si>
  <si>
    <t>Cash balance is recurring cash only. A positive time-valued benefit cannot finance a negative cash balance. One-time funding is separate. Forecast hours are not already released capacity; even measured hours require a realistic redeployment plan. A linked overlap is counted as extra demand until its source case enters this planning view.</t>
  </si>
  <si>
    <t>Demand ID</t>
  </si>
  <si>
    <t>Demand type</t>
  </si>
  <si>
    <t>Initiative</t>
  </si>
  <si>
    <t>Linked case ID</t>
  </si>
  <si>
    <t>Already in case estimate?</t>
  </si>
  <si>
    <t>Cost / overlap / resource-fit reference</t>
  </si>
  <si>
    <t>Treatment • calculated</t>
  </si>
  <si>
    <t>Extra business h</t>
  </si>
  <si>
    <t>Extra specialist h</t>
  </si>
  <si>
    <t>Extra cash €/year</t>
  </si>
  <si>
    <t>Extra one-time €</t>
  </si>
  <si>
    <t>R001</t>
  </si>
  <si>
    <t>Critical-service recovery rehearsal</t>
  </si>
  <si>
    <t>Draft</t>
  </si>
  <si>
    <t>No</t>
  </si>
  <si>
    <t>Example demand. Match recovery engineering capacity; not live funding.</t>
  </si>
  <si>
    <t>R002</t>
  </si>
  <si>
    <t>Identity hardening and privileged access</t>
  </si>
  <si>
    <t>Example demand. Confirm identity engineering availability.</t>
  </si>
  <si>
    <t>R003</t>
  </si>
  <si>
    <t>Supplier access and dependency review</t>
  </si>
  <si>
    <t>Example demand. Confirm procurement and security ownership.</t>
  </si>
  <si>
    <t>R004</t>
  </si>
  <si>
    <t>Joiner / mover / leaver automation</t>
  </si>
  <si>
    <t>Yes</t>
  </si>
  <si>
    <t>Example bundled overlap with access-review replacement. Exclusion needs eligible live C004.</t>
  </si>
  <si>
    <t>R005</t>
  </si>
  <si>
    <t>Detection and response improvement</t>
  </si>
  <si>
    <t>Example demand. Confirm analyst skill and operating coverage.</t>
  </si>
  <si>
    <t>R006</t>
  </si>
  <si>
    <t>R007</t>
  </si>
  <si>
    <t>R008</t>
  </si>
  <si>
    <t>R009</t>
  </si>
  <si>
    <t>R010</t>
  </si>
  <si>
    <t>R011</t>
  </si>
  <si>
    <t>R012</t>
  </si>
  <si>
    <t>R013</t>
  </si>
  <si>
    <t>R014</t>
  </si>
  <si>
    <t>R015</t>
  </si>
  <si>
    <t>R016</t>
  </si>
  <si>
    <t>R017</t>
  </si>
  <si>
    <t>R018</t>
  </si>
  <si>
    <t>R019</t>
  </si>
  <si>
    <t>R020</t>
  </si>
  <si>
    <t>Optional  Classification diagnostic</t>
  </si>
  <si>
    <t>Ratios flag questions; they do not prove a control is useless. Rare high-impact cases, exports and obligations must still be examined in the main review.</t>
  </si>
  <si>
    <t>Dominant label share</t>
  </si>
  <si>
    <t>Label-dependent DLP share</t>
  </si>
  <si>
    <t>Default changed share</t>
  </si>
  <si>
    <t>Important exception / boundary</t>
  </si>
  <si>
    <t>Test evidence reference</t>
  </si>
  <si>
    <t>Next test / action</t>
  </si>
  <si>
    <t>Interpretation • calculated</t>
  </si>
  <si>
    <t>Test rare sensitive exports and changing recipients.</t>
  </si>
  <si>
    <t>Illustrative assumptions, not observed data.</t>
  </si>
  <si>
    <t>Compare manual vs context-based decisions on an independently reviewed sample.</t>
  </si>
  <si>
    <t>Model settings</t>
  </si>
  <si>
    <t>Forecast assumptions only. Actual measurements are stored independently. Rate changes never rewrite measured results.</t>
  </si>
  <si>
    <t>Setting</t>
  </si>
  <si>
    <t>Value</t>
  </si>
  <si>
    <t>Units</t>
  </si>
  <si>
    <t>Meaning</t>
  </si>
  <si>
    <t>Planning as-of date</t>
  </si>
  <si>
    <t>date</t>
  </si>
  <si>
    <t>Cases dated later do not contribute to this planning view.</t>
  </si>
  <si>
    <t>Approved + measured</t>
  </si>
  <si>
    <t>selection</t>
  </si>
  <si>
    <t>Approved forecasts are estimates, not already released capacity.</t>
  </si>
  <si>
    <t>Staff rate</t>
  </si>
  <si>
    <t>€/hour</t>
  </si>
  <si>
    <t>Illustrative fully loaded rate; replace with a documented local assumption.</t>
  </si>
  <si>
    <t>Management rate</t>
  </si>
  <si>
    <t>Specialist-team rate</t>
  </si>
  <si>
    <t>Illustrative fully loaded rate; capacity still needs a matching skill profile.</t>
  </si>
  <si>
    <t>Supported case slots</t>
  </si>
  <si>
    <t>cases</t>
  </si>
  <si>
    <t>50 prepared IDs, including 11 examples. Do not append rows beyond the prepared capacity.</t>
  </si>
  <si>
    <t>Optional workload calculator — copy the result as a documented estimate</t>
  </si>
  <si>
    <t>Affected people</t>
  </si>
  <si>
    <t>Events per person per year</t>
  </si>
  <si>
    <t>Minutes per event</t>
  </si>
  <si>
    <t>Share requiring follow-up</t>
  </si>
  <si>
    <t>Extra minutes per follow-up</t>
  </si>
  <si>
    <t>Hours per year</t>
  </si>
  <si>
    <t>Example source</t>
  </si>
  <si>
    <t>Original classification assumptions</t>
  </si>
  <si>
    <t>Frequency is per person, not the organization-wide count. Example: 100 people × 4 events × 15 minutes = 100 hours/year. For daily events, multiply by working days first. Copy the calculated hours into Current or Proposed and record this basis. The helper is not linked to a case.</t>
  </si>
  <si>
    <t>User guide</t>
  </si>
  <si>
    <t>Begin with a small, concrete comparison. The objective is a better decision—not a larger assessment exercise.</t>
  </si>
  <si>
    <t>1  Choose one case</t>
  </si>
  <si>
    <t>Open Case View and select C012, then use its edit links. In Cases, set Case type to Live. Define one activity in one process, its owner, the protection purpose and the exact proposal. Keep the ID unchanged. To try a worked example, change its inputs while retaining Case type = Example.</t>
  </si>
  <si>
    <t>2  Estimate the current and proposed annual profiles</t>
  </si>
  <si>
    <t>Current and Proposed ask whose time is required, annual execution hours, extra specialist hours, recurring cash and the basis of the estimate. All numeric fields are required, even when the answer is zero. Specialist execution is counted as team time, not business time. Proposed means the full operating profile after the change: include unchanged work, fixed licenses, new operating effort and transition costs. Partial scope is described explicitly; do not multiply every cost by a remaining-share percentage. Use the optional Settings calculator when events are easier to estimate than annual hours.</t>
  </si>
  <si>
    <t>3  Separate what you expect from what you know</t>
  </si>
  <si>
    <t>Confidence refers to local evidence supporting the proposed protection outcome, not the prestige of a source. Modeled potential can be shown before approval; it is not a resource supply. Record a reference to a comparison, pilot or other evidence. Accepted reductions in protection require an explicit risk acceptance reference. No score selects removal or bypasses the review. Retain means an unchanged annual profile and no released resource.</t>
  </si>
  <si>
    <t>4  Clear challenges and make the human decision</t>
  </si>
  <si>
    <t>Complete all six Challenge Review questions, name the reviewer and record the review date. No or an unresolved concern means Blocked; missing answers mean Unchecked. Planning requires Clear, Evidence-backed, an Approved or Implemented decision, an approver, evidence, decision date, effective date and explicit usable-time shares. A decision that is Open, Pilot approved or Rejected does not qualify. Future-effective changes remain excluded until the planning as-of date.</t>
  </si>
  <si>
    <t>5  Record actual results without rewriting history</t>
  </si>
  <si>
    <t>For Realized, record signed annual changes from a like-for-like measured comparison. Enter the observation start/end, evidence, verifier/date and normalization method. Annualized measurement is a measured run-rate estimate, not a full-year observation. Record the change in labor value separately from cash using the period's fixed rates and mix; never multiply net hours by a current global rate when groups changed. These input snapshots are independent of forecast rate changes. The decision must be Implemented. Realized labels without measurements are visibly flagged and excluded.</t>
  </si>
  <si>
    <t>6  Use three resources, not one attractive euro number</t>
  </si>
  <si>
    <t>Business hours, specialist-team hours and recurring cash stay separate. Cash inputs in this model are non-labor spend; employment cost is already valued through hours. Positive hours use the documented usable-time share; extra work counts in full. Choose Approved + measured or Measured only in Settings. One-time costs need separate funding. Exclude an overlap only when its linked Live case is included under the same planning basis and the mapping is documented. Until then, count it in full. Aggregate hours still need real skill, team and timing matches.</t>
  </si>
  <si>
    <t>Editing, sorting and capacity</t>
  </si>
  <si>
    <t>Use blue input cells and the case-specific links. Calculations and readiness messages are not input fields. Sort the entire Excel table, never a single column. All prepared case IDs must occur exactly once in every input table. Start warns about missing readiness outputs and broken identities. There are 50 prepared case slots and 20 demand slots; arbitrary appended rows are outside the supported model. No macros, external workbook links or automated approval steps are used.</t>
  </si>
  <si>
    <t>Interpretation and limitations</t>
  </si>
  <si>
    <t>All example figures are assumptions from the supplied workbook, not measured organizational savings. Hypotheses about security effectiveness need local validation and must not be generalized from a narrow study. No result authorizes noncompliance or disregards rare, severe events. The workbook uses annualized steady-state comparisons, not a monthly cash-flow model, a statistical confidence interval or an audit trail. Preserve dated versions and supporting evidence outside the workbook. Numeric estimates and positive gates aid a decision; they do not establish that the protection outcome is safe.</t>
  </si>
  <si>
    <t>Sources and provenance</t>
  </si>
  <si>
    <t>Bibliography carried over from the supplied workbook. Numeric examples are local assumptions; external references have not been re-verified for this rebuild.</t>
  </si>
  <si>
    <t>Source ID</t>
  </si>
  <si>
    <t>Reference</t>
  </si>
  <si>
    <t>URL / supplied file</t>
  </si>
  <si>
    <t>Use in this model</t>
  </si>
  <si>
    <t>Limit / scope</t>
  </si>
  <si>
    <t>Review status</t>
  </si>
  <si>
    <t>Cormac Herley: So Long, and No Thanks for the Externalities (2009)</t>
  </si>
  <si>
    <t>https://www.microsoft.com/en-us/research/publication/so-long-and-no-thanks-for-the-externalities-the-rational-rejection-of-security-advice-by-users/</t>
  </si>
  <si>
    <t>Background reading for the original example catalog.</t>
  </si>
  <si>
    <t>Read the original scope; establish local applicability separately.</t>
  </si>
  <si>
    <t>Carried over; not freshly verified</t>
  </si>
  <si>
    <t>Beautement, Sasse, Wonham: The Compliance Budget (2008)</t>
  </si>
  <si>
    <t>https://discovery.ucl.ac.uk/id/eprint/24207/</t>
  </si>
  <si>
    <t>Adams &amp; Sasse: Users Are Not the Enemy (1999)</t>
  </si>
  <si>
    <t>https://dl.acm.org/doi/10.1145/322796.322806</t>
  </si>
  <si>
    <t>NIST SP 800-63B-4</t>
  </si>
  <si>
    <t>https://pages.nist.gov/800-63-4/sp800-63b.html</t>
  </si>
  <si>
    <t>NIST: Security Fatigue (2016)</t>
  </si>
  <si>
    <t>https://csrc.nist.gov/pubs/journal/2016/09/security-fatigue/final</t>
  </si>
  <si>
    <t>Ho et al.: Understanding the Efficacy of Phishing Training in Practice, IEEE S&amp;P 2025</t>
  </si>
  <si>
    <t>https://par.nsf.gov/biblio/10600744</t>
  </si>
  <si>
    <t>Lain, Kostiainen, Capkun: Phishing in Organizations, IEEE S&amp;P 2022</t>
  </si>
  <si>
    <t>https://ieeexplore.ieee.org/document/9833621</t>
  </si>
  <si>
    <t>Verizon DBIR 2025, version-pinned link</t>
  </si>
  <si>
    <t>https://www.verizon.com/business/resources/reports/2025-dbir-data-breach-investigations-report.pdf</t>
  </si>
  <si>
    <t>Microsoft Learn: Sensitivity labels for Teams/groups/sites</t>
  </si>
  <si>
    <t>https://learn.microsoft.com/en-us/purview/sensitivity-labels-teams-groups-sites</t>
  </si>
  <si>
    <t>ISO/IEC 27002:2022, controls 5.12 and 5.13</t>
  </si>
  <si>
    <t>https://www.iso.org/standard/75652.html</t>
  </si>
  <si>
    <t>German Trade Secrets Act (GeschGehG), § 2</t>
  </si>
  <si>
    <t>https://www.gesetze-im-internet.de/geschgehg/</t>
  </si>
  <si>
    <t>CISA Known Exploited Vulnerabilities Catalog</t>
  </si>
  <si>
    <t>https://www.cisa.gov/known-exploited-vulnerabilities-catalog</t>
  </si>
  <si>
    <t>FIRST: Exploit Prediction Scoring System (EPSS)</t>
  </si>
  <si>
    <t>https://www.first.org/epss/</t>
  </si>
  <si>
    <t>NCSC (UK): Phishing guidance</t>
  </si>
  <si>
    <t>https://www.ncsc.gov.uk/guidance/phishing</t>
  </si>
  <si>
    <t>Cox: What's Wrong with Risk Matrices? (2008)</t>
  </si>
  <si>
    <t>https://onlinelibrary.wiley.com/doi/10.1111/j.1539-6924.2008.01030.x</t>
  </si>
  <si>
    <t>NIST SP 1305: CSF 2.0 Quick-Start Guide for C-SCRM (2024)</t>
  </si>
  <si>
    <t>https://nvlpubs.nist.gov/nistpubs/SpecialPublications/NIST.SP.1305.pdf</t>
  </si>
  <si>
    <t>CISA #StopRansomware Guide</t>
  </si>
  <si>
    <t>https://www.cisa.gov/stopransomware/ransomware-guide</t>
  </si>
  <si>
    <t>INPUT</t>
  </si>
  <si>
    <t>Attached English workbook</t>
  </si>
  <si>
    <t>Opportunity-Cost-Security-Model.xlsx</t>
  </si>
  <si>
    <t>Source of eleven numeric example profiles and indicative rates.</t>
  </si>
  <si>
    <t>Earlier v5 file: nine sheets; 376 formula definitions in the supplied file.</t>
  </si>
  <si>
    <t>Migrated / recalculated</t>
  </si>
  <si>
    <t>REVIEW</t>
  </si>
  <si>
    <t>Prior review and usability blueprint</t>
  </si>
  <si>
    <t>Opportunity_Cost_Security_Review_and_UX_Blueprint.md</t>
  </si>
  <si>
    <t>Design and regression requirements.</t>
  </si>
  <si>
    <t>Prior findings are not evidence about a real organization's savings.</t>
  </si>
  <si>
    <t>Implemented / tested in release notes</t>
  </si>
  <si>
    <t>LATEST</t>
  </si>
  <si>
    <t>User-provided later regression report</t>
  </si>
  <si>
    <t>Current conversation</t>
  </si>
  <si>
    <t>Readiness, key integrity, missing inputs, example isolation, measurements and overlap tests.</t>
  </si>
  <si>
    <t>The later 636-formula workbook itself was not attached; its baseline is not silently imposed on this source.</t>
  </si>
  <si>
    <t>Acceptance criteria</t>
  </si>
  <si>
    <t>ASSUMPTIONS</t>
  </si>
  <si>
    <t>Numeric values and rates in example records</t>
  </si>
  <si>
    <t>Current / Proposed / Settings</t>
  </si>
  <si>
    <t>Illustrative cost and workload calculations.</t>
  </si>
  <si>
    <t>Not measurements, guaranteed savings or product pricing.</t>
  </si>
  <si>
    <t>Replace and document before live approval</t>
  </si>
  <si>
    <t>Calculation and readiness ledger</t>
  </si>
  <si>
    <t>Calculated outputs only. Do not edit or append rows. Every case key must occur once in every input table. Start detects missing readiness outputs.</t>
  </si>
  <si>
    <t>Case complete</t>
  </si>
  <si>
    <t>Current ready</t>
  </si>
  <si>
    <t>Proposed ready</t>
  </si>
  <si>
    <t>Challenge state</t>
  </si>
  <si>
    <t>Review complete</t>
  </si>
  <si>
    <t>Actuals ready</t>
  </si>
  <si>
    <t>Next action</t>
  </si>
  <si>
    <t>Forecast eligible</t>
  </si>
  <si>
    <t>Measured eligible</t>
  </si>
  <si>
    <t>Selected plan eligible</t>
  </si>
  <si>
    <t>Current business h</t>
  </si>
  <si>
    <t>Proposed business h</t>
  </si>
  <si>
    <t>Net business h</t>
  </si>
  <si>
    <t>Current specialist h</t>
  </si>
  <si>
    <t>Proposed specialist h</t>
  </si>
  <si>
    <t>Net specialist h</t>
  </si>
  <si>
    <t>Current cash €</t>
  </si>
  <si>
    <t>Proposed cash €</t>
  </si>
  <si>
    <t>Cash change €</t>
  </si>
  <si>
    <t>Current total €</t>
  </si>
  <si>
    <t>Proposed total €</t>
  </si>
  <si>
    <t>Time-valued benefit €</t>
  </si>
  <si>
    <t>One-time €</t>
  </si>
  <si>
    <t>Planning business h</t>
  </si>
  <si>
    <t>Planning specialist h</t>
  </si>
  <si>
    <t>Planning cash €</t>
  </si>
  <si>
    <t>Planning one-time €</t>
  </si>
  <si>
    <t>Declared realized</t>
  </si>
  <si>
    <t>Measurement warning</t>
  </si>
  <si>
    <t>Identity valid</t>
  </si>
  <si>
    <t>Estimate ready</t>
  </si>
  <si>
    <t>Confidence</t>
  </si>
  <si>
    <t>Actual business h</t>
  </si>
  <si>
    <t>Actual specialist h</t>
  </si>
  <si>
    <t>Actual cash €</t>
  </si>
  <si>
    <t>Actual time-valued benefit €</t>
  </si>
  <si>
    <t>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</si>
</sst>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Red]\(#,##0.0\);0.0"/>
    <numFmt numFmtId="166" formatCode="\€#,##0;[Red]\(\€#,##0\);\€0"/>
  </numFmts>
  <fonts count="10">
    <font>
      <sz val="11"/>
      <name val="Carlito"/>
    </font>
    <font>
      <sz val="11"/>
      <color rgb="FF223341"/>
      <name val="Aptos"/>
    </font>
    <font>
      <b/>
      <sz val="22"/>
      <color rgb="FFFFFFFF"/>
      <name val="Aptos Display"/>
    </font>
    <font>
      <sz val="11"/>
      <color rgb="FF536775"/>
      <name val="Aptos"/>
    </font>
    <font>
      <b/>
      <sz val="11"/>
      <color rgb="FF087F83"/>
      <name val="Aptos"/>
    </font>
    <font>
      <sz val="11"/>
      <color rgb="FF174CBA"/>
      <name val="Aptos"/>
    </font>
    <font>
      <b/>
      <sz val="11"/>
      <color rgb="FFFFFFFF"/>
      <name val="Aptos"/>
    </font>
    <font>
      <b/>
      <sz val="28"/>
      <color rgb="FF087F83"/>
      <name val="Aptos"/>
    </font>
    <font>
      <sz val="10"/>
      <color rgb="FF536775"/>
      <name val="Aptos"/>
    </font>
    <font>
      <sz val="11"/>
      <name val="Carlito"/>
    </font>
  </fonts>
  <fills count="9">
    <fill>
      <patternFill patternType="none"/>
    </fill>
    <fill>
      <patternFill patternType="gray125"/>
    </fill>
    <fill>
      <patternFill patternType="solid">
        <fgColor rgb="FF173042"/>
      </patternFill>
    </fill>
    <fill>
      <patternFill patternType="solid">
        <fgColor rgb="FFEEF4FF"/>
      </patternFill>
    </fill>
    <fill>
      <patternFill patternType="solid">
        <fgColor rgb="FF087F83"/>
      </patternFill>
    </fill>
    <fill>
      <patternFill patternType="solid">
        <fgColor rgb="FFF2F5F7"/>
      </patternFill>
    </fill>
    <fill>
      <patternFill patternType="solid">
        <fgColor rgb="FFEAF5F4"/>
      </patternFill>
    </fill>
    <fill>
      <patternFill patternType="solid">
        <fgColor rgb="FFFFFFFF"/>
      </patternFill>
    </fill>
    <fill>
      <patternFill patternType="solid">
        <fgColor rgb="FFFFF1CD"/>
      </patternFill>
    </fill>
  </fills>
  <borders count="1">
    <border>
      <left/>
      <right/>
      <top/>
      <bottom/>
      <diagonal/>
    </border>
  </borders>
  <cellStyleXfs count="2">
    <xf numFmtId="0" fontId="0" fillId="0" borderId="0"/>
    <xf numFmtId="0" fontId="9" fillId="0" borderId="0"/>
  </cellStyleXfs>
  <cellXfs count="41">
    <xf numFmtId="0" fontId="0" fillId="0" borderId="0" xfId="0"/>
    <xf numFmtId="0" fontId="1" fillId="0" borderId="0" xfId="1" applyFont="1" applyAlignment="1">
      <alignment vertical="top"/>
    </xf>
    <xf numFmtId="0" fontId="2" fillId="2" borderId="0" xfId="1" applyFont="1" applyFill="1" applyAlignment="1">
      <alignment vertical="center"/>
    </xf>
    <xf numFmtId="0" fontId="3" fillId="0" borderId="0" xfId="1" applyFont="1" applyAlignment="1">
      <alignment vertical="center" wrapText="1"/>
    </xf>
    <xf numFmtId="0" fontId="4" fillId="0" borderId="0" xfId="1" applyFont="1" applyAlignment="1">
      <alignment vertical="top"/>
    </xf>
    <xf numFmtId="0" fontId="5" fillId="3" borderId="0" xfId="1" applyFont="1" applyFill="1" applyAlignment="1">
      <alignment vertical="top"/>
    </xf>
    <xf numFmtId="0" fontId="6" fillId="4" borderId="0" xfId="1" applyFont="1" applyFill="1" applyAlignment="1">
      <alignment vertical="top"/>
    </xf>
    <xf numFmtId="0" fontId="1" fillId="0" borderId="0" xfId="1" applyFont="1" applyAlignment="1">
      <alignment vertical="top" wrapText="1"/>
    </xf>
    <xf numFmtId="164" fontId="5" fillId="3" borderId="0" xfId="1" applyNumberFormat="1" applyFont="1" applyFill="1" applyAlignment="1">
      <alignment vertical="top" wrapText="1"/>
    </xf>
    <xf numFmtId="0" fontId="5" fillId="3" borderId="0" xfId="1" applyFont="1" applyFill="1" applyAlignment="1">
      <alignment vertical="top" wrapText="1"/>
    </xf>
    <xf numFmtId="0" fontId="6" fillId="4" borderId="0" xfId="1" applyFont="1" applyFill="1" applyAlignment="1">
      <alignment vertical="top" wrapText="1"/>
    </xf>
    <xf numFmtId="0" fontId="6" fillId="4" borderId="0" xfId="1" applyFont="1" applyFill="1" applyAlignment="1">
      <alignment vertical="center" wrapText="1"/>
    </xf>
    <xf numFmtId="9" fontId="5" fillId="3" borderId="0" xfId="1" applyNumberFormat="1" applyFont="1" applyFill="1" applyAlignment="1">
      <alignment vertical="top"/>
    </xf>
    <xf numFmtId="165" fontId="1" fillId="0" borderId="0" xfId="1" applyNumberFormat="1" applyFont="1" applyAlignment="1">
      <alignment vertical="top"/>
    </xf>
    <xf numFmtId="0" fontId="1" fillId="5" borderId="0" xfId="1" applyFont="1" applyFill="1" applyAlignment="1">
      <alignment vertical="center" wrapText="1"/>
    </xf>
    <xf numFmtId="0" fontId="1" fillId="0" borderId="0" xfId="1" applyFont="1" applyAlignment="1">
      <alignment vertical="center" wrapText="1"/>
    </xf>
    <xf numFmtId="0" fontId="5" fillId="3" borderId="0" xfId="1" applyFont="1" applyFill="1" applyAlignment="1">
      <alignment vertical="center" wrapText="1"/>
    </xf>
    <xf numFmtId="165" fontId="5" fillId="3" borderId="0" xfId="1" applyNumberFormat="1" applyFont="1" applyFill="1" applyAlignment="1">
      <alignment vertical="center" wrapText="1"/>
    </xf>
    <xf numFmtId="166" fontId="5" fillId="3" borderId="0" xfId="1" applyNumberFormat="1" applyFont="1" applyFill="1" applyAlignment="1">
      <alignment vertical="center" wrapText="1"/>
    </xf>
    <xf numFmtId="164" fontId="5" fillId="3" borderId="0" xfId="1" applyNumberFormat="1" applyFont="1" applyFill="1" applyAlignment="1">
      <alignment vertical="center" wrapText="1"/>
    </xf>
    <xf numFmtId="9" fontId="5" fillId="3" borderId="0" xfId="1" applyNumberFormat="1" applyFont="1" applyFill="1" applyAlignment="1">
      <alignment vertical="center" wrapText="1"/>
    </xf>
    <xf numFmtId="0" fontId="1" fillId="5" borderId="0" xfId="1" applyFont="1" applyFill="1" applyAlignment="1">
      <alignment vertical="center" wrapText="1"/>
    </xf>
    <xf numFmtId="0" fontId="1" fillId="7" borderId="0" xfId="1" applyFont="1" applyFill="1" applyAlignment="1">
      <alignment vertical="center" wrapText="1"/>
    </xf>
    <xf numFmtId="165" fontId="1" fillId="5" borderId="0" xfId="1" applyNumberFormat="1" applyFont="1" applyFill="1" applyAlignment="1">
      <alignment vertical="center" wrapText="1"/>
    </xf>
    <xf numFmtId="166" fontId="1" fillId="5" borderId="0" xfId="1" applyNumberFormat="1" applyFont="1" applyFill="1" applyAlignment="1">
      <alignment vertical="center" wrapText="1"/>
    </xf>
    <xf numFmtId="0" fontId="6" fillId="4" borderId="0" xfId="1" applyFont="1" applyFill="1" applyAlignment="1">
      <alignment vertical="center" wrapText="1"/>
    </xf>
    <xf numFmtId="166" fontId="1" fillId="7" borderId="0" xfId="1" applyNumberFormat="1" applyFont="1" applyFill="1" applyAlignment="1">
      <alignment horizontal="right" vertical="center" wrapText="1"/>
    </xf>
    <xf numFmtId="166" fontId="8" fillId="7" borderId="0" xfId="1" applyNumberFormat="1" applyFont="1" applyFill="1" applyAlignment="1">
      <alignment horizontal="right" vertical="center" wrapText="1"/>
    </xf>
    <xf numFmtId="165" fontId="1" fillId="7" borderId="0" xfId="1" applyNumberFormat="1" applyFont="1" applyFill="1" applyAlignment="1">
      <alignment horizontal="right" vertical="center" wrapText="1"/>
    </xf>
    <xf numFmtId="0" fontId="4" fillId="6" borderId="0" xfId="1" applyFont="1" applyFill="1" applyAlignment="1">
      <alignment vertical="center" wrapText="1"/>
    </xf>
    <xf numFmtId="0" fontId="1" fillId="8" borderId="0" xfId="1" applyFont="1" applyFill="1" applyAlignment="1">
      <alignment vertical="center" wrapText="1"/>
    </xf>
    <xf numFmtId="0" fontId="2" fillId="2" borderId="0" xfId="1" applyFont="1" applyFill="1" applyAlignment="1">
      <alignment vertical="center"/>
    </xf>
    <xf numFmtId="0" fontId="3" fillId="0" borderId="0" xfId="1" applyFont="1" applyAlignment="1">
      <alignment vertical="center" wrapText="1"/>
    </xf>
    <xf numFmtId="0" fontId="1" fillId="6" borderId="0" xfId="1" applyFont="1" applyFill="1" applyAlignment="1">
      <alignment vertical="center" wrapText="1"/>
    </xf>
    <xf numFmtId="0" fontId="6" fillId="2" borderId="0" xfId="1" applyFont="1" applyFill="1" applyAlignment="1">
      <alignment vertical="center" wrapText="1"/>
    </xf>
    <xf numFmtId="0" fontId="7" fillId="5" borderId="0" xfId="1" applyFont="1" applyFill="1" applyAlignment="1">
      <alignment horizontal="center" vertical="center" wrapText="1"/>
    </xf>
    <xf numFmtId="0" fontId="4" fillId="0" borderId="0" xfId="1" applyFont="1" applyAlignment="1">
      <alignment vertical="top"/>
    </xf>
    <xf numFmtId="0" fontId="1" fillId="0" borderId="0" xfId="1" applyFont="1" applyAlignment="1">
      <alignment vertical="top"/>
    </xf>
    <xf numFmtId="0" fontId="5" fillId="3" borderId="0" xfId="1" applyFont="1" applyFill="1" applyAlignment="1">
      <alignment vertical="top"/>
    </xf>
    <xf numFmtId="166" fontId="1" fillId="0" borderId="0" xfId="1" applyNumberFormat="1" applyFont="1" applyAlignment="1">
      <alignment vertical="top"/>
    </xf>
    <xf numFmtId="165" fontId="1" fillId="0" borderId="0" xfId="1" applyNumberFormat="1" applyFont="1" applyAlignment="1">
      <alignment vertical="top"/>
    </xf>
  </cellXfs>
  <cellStyles count="2">
    <cellStyle name="Normal" xfId="1" xr:uid="{00000000-0005-0000-0000-000000000000}"/>
    <cellStyle name="Standard" xfId="0" builtinId="0"/>
  </cellStyles>
  <dxfs count="11">
    <dxf>
      <font>
        <color rgb="FFB42318"/>
      </font>
    </dxf>
    <dxf>
      <font>
        <color rgb="FFB42318"/>
      </font>
      <fill>
        <patternFill patternType="solid">
          <bgColor rgb="FFFDE8E8"/>
        </patternFill>
      </fill>
    </dxf>
    <dxf>
      <font>
        <color rgb="FF166534"/>
      </font>
      <fill>
        <patternFill patternType="solid">
          <bgColor rgb="FFDDF2E5"/>
        </patternFill>
      </fill>
    </dxf>
    <dxf>
      <font>
        <color rgb="FFB42318"/>
      </font>
      <fill>
        <patternFill patternType="solid">
          <bgColor rgb="FFFDE8E8"/>
        </patternFill>
      </fill>
    </dxf>
    <dxf>
      <font>
        <color rgb="FF166534"/>
      </font>
      <fill>
        <patternFill patternType="solid">
          <bgColor rgb="FFDDF2E5"/>
        </patternFill>
      </fill>
    </dxf>
    <dxf>
      <font>
        <color rgb="FFB42318"/>
      </font>
      <fill>
        <patternFill patternType="solid">
          <bgColor rgb="FFFDE8E8"/>
        </patternFill>
      </fill>
    </dxf>
    <dxf>
      <font>
        <color rgb="FF166534"/>
      </font>
      <fill>
        <patternFill patternType="solid">
          <bgColor rgb="FFDDF2E5"/>
        </patternFill>
      </fill>
    </dxf>
    <dxf>
      <font>
        <color rgb="FFB42318"/>
      </font>
      <fill>
        <patternFill patternType="solid">
          <bgColor rgb="FFFDE8E8"/>
        </patternFill>
      </fill>
    </dxf>
    <dxf>
      <font>
        <color rgb="FF166534"/>
      </font>
      <fill>
        <patternFill patternType="solid">
          <bgColor rgb="FFDDF2E5"/>
        </patternFill>
      </fill>
    </dxf>
    <dxf>
      <font>
        <color rgb="FFB42318"/>
      </font>
    </dxf>
    <dxf>
      <font>
        <color rgb="FFB423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Register" displayName="CaseRegister" ref="A6:I56" totalsRowShown="0">
  <tableColumns count="9">
    <tableColumn id="1" xr3:uid="{00000000-0010-0000-0000-000001000000}" name="Case ID"/>
    <tableColumn id="2" xr3:uid="{00000000-0010-0000-0000-000002000000}" name="Case type"/>
    <tableColumn id="3" xr3:uid="{00000000-0010-0000-0000-000003000000}" name="Activity"/>
    <tableColumn id="4" xr3:uid="{00000000-0010-0000-0000-000004000000}" name="Process / scope"/>
    <tableColumn id="5" xr3:uid="{00000000-0010-0000-0000-000005000000}" name="Case owner"/>
    <tableColumn id="6" xr3:uid="{00000000-0010-0000-0000-000006000000}" name="Protection purpose"/>
    <tableColumn id="7" xr3:uid="{00000000-0010-0000-0000-000007000000}" name="Chosen proposal"/>
    <tableColumn id="8" xr3:uid="{00000000-0010-0000-0000-000008000000}" name="What changes / remains"/>
    <tableColumn id="9" xr3:uid="{00000000-0010-0000-0000-000009000000}" name="Assumptions / scope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rrentProfiles" displayName="CurrentProfiles" ref="A6:K56" totalsRowShown="0">
  <tableColumns count="11">
    <tableColumn id="1" xr3:uid="{00000000-0010-0000-0100-000001000000}" name="Case ID"/>
    <tableColumn id="2" xr3:uid="{00000000-0010-0000-0100-000002000000}" name="Execution group"/>
    <tableColumn id="3" xr3:uid="{00000000-0010-0000-0100-000003000000}" name="Execution h/year"/>
    <tableColumn id="4" xr3:uid="{00000000-0010-0000-0100-000004000000}" name="Additional specialist h/year"/>
    <tableColumn id="5" xr3:uid="{00000000-0010-0000-0100-000005000000}" name="Recurring cash €/year"/>
    <tableColumn id="6" xr3:uid="{00000000-0010-0000-0100-000006000000}" name="Estimate / measurement source"/>
    <tableColumn id="7" xr3:uid="{00000000-0010-0000-0100-000007000000}" name="Input status"/>
    <tableColumn id="8" xr3:uid="{00000000-0010-0000-0100-000008000000}" name="Business h/year"/>
    <tableColumn id="9" xr3:uid="{00000000-0010-0000-0100-000009000000}" name="Specialist h/year"/>
    <tableColumn id="10" xr3:uid="{00000000-0010-0000-0100-00000A000000}" name="Time cost €/year"/>
    <tableColumn id="11" xr3:uid="{00000000-0010-0000-0100-00000B000000}" name="Total cost €/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osedProfiles" displayName="ProposedProfiles" ref="A6:L56" totalsRowShown="0">
  <tableColumns count="12">
    <tableColumn id="1" xr3:uid="{00000000-0010-0000-0200-000001000000}" name="Case ID"/>
    <tableColumn id="2" xr3:uid="{00000000-0010-0000-0200-000002000000}" name="Execution group"/>
    <tableColumn id="3" xr3:uid="{00000000-0010-0000-0200-000003000000}" name="Execution h/year"/>
    <tableColumn id="4" xr3:uid="{00000000-0010-0000-0200-000004000000}" name="Additional specialist h/year"/>
    <tableColumn id="5" xr3:uid="{00000000-0010-0000-0200-000005000000}" name="Recurring cash €/year"/>
    <tableColumn id="6" xr3:uid="{00000000-0010-0000-0200-000006000000}" name="One-time cost €"/>
    <tableColumn id="7" xr3:uid="{00000000-0010-0000-0200-000007000000}" name="Estimate / measurement source"/>
    <tableColumn id="8" xr3:uid="{00000000-0010-0000-0200-000008000000}" name="Input status"/>
    <tableColumn id="9" xr3:uid="{00000000-0010-0000-0200-000009000000}" name="Business h/year"/>
    <tableColumn id="10" xr3:uid="{00000000-0010-0000-0200-00000A000000}" name="Specialist h/year"/>
    <tableColumn id="11" xr3:uid="{00000000-0010-0000-0200-00000B000000}" name="Time cost €/year"/>
    <tableColumn id="12" xr3:uid="{00000000-0010-0000-0200-00000C000000}" name="Total cost €/ye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seDecisions" displayName="CaseDecisions" ref="A6:M56" totalsRowShown="0">
  <tableColumns count="13">
    <tableColumn id="1" xr3:uid="{00000000-0010-0000-0300-000001000000}" name="Case ID"/>
    <tableColumn id="2" xr3:uid="{00000000-0010-0000-0300-000002000000}" name="Confidence in local evidence"/>
    <tableColumn id="3" xr3:uid="{00000000-0010-0000-0300-000003000000}" name="Protection outcome"/>
    <tableColumn id="4" xr3:uid="{00000000-0010-0000-0300-000004000000}" name="Evidence / pilot reference"/>
    <tableColumn id="5" xr3:uid="{00000000-0010-0000-0300-000005000000}" name="Human decision"/>
    <tableColumn id="6" xr3:uid="{00000000-0010-0000-0300-000006000000}" name="Approver"/>
    <tableColumn id="7" xr3:uid="{00000000-0010-0000-0300-000007000000}" name="Decision date"/>
    <tableColumn id="8" xr3:uid="{00000000-0010-0000-0300-000008000000}" name="Benefit stage"/>
    <tableColumn id="9" xr3:uid="{00000000-0010-0000-0300-000009000000}" name="Effective / available from"/>
    <tableColumn id="10" xr3:uid="{00000000-0010-0000-0300-00000A000000}" name="Usable business time %"/>
    <tableColumn id="11" xr3:uid="{00000000-0010-0000-0300-00000B000000}" name="Usable specialist time %"/>
    <tableColumn id="12" xr3:uid="{00000000-0010-0000-0300-00000C000000}" name="Risk acceptance reference"/>
    <tableColumn id="13" xr3:uid="{00000000-0010-0000-0300-00000D000000}" name="Next action • calcula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hallengeChecks" displayName="ChallengeChecks" ref="A6:K56" totalsRowShown="0">
  <tableColumns count="11">
    <tableColumn id="1" xr3:uid="{00000000-0010-0000-0400-000001000000}" name="Case ID"/>
    <tableColumn id="2" xr3:uid="{00000000-0010-0000-0400-000002000000}" name="Reviewer"/>
    <tableColumn id="3" xr3:uid="{00000000-0010-0000-0400-000003000000}" name="Review date"/>
    <tableColumn id="4" xr3:uid="{00000000-0010-0000-0400-000004000000}" name="Protection purpose checked"/>
    <tableColumn id="5" xr3:uid="{00000000-0010-0000-0400-000005000000}" name="Full alternative cost checked"/>
    <tableColumn id="6" xr3:uid="{00000000-0010-0000-0400-000006000000}" name="Binding requirements checked"/>
    <tableColumn id="7" xr3:uid="{00000000-0010-0000-0400-000007000000}" name="Rare failures / defense depth checked"/>
    <tableColumn id="8" xr3:uid="{00000000-0010-0000-0400-000008000000}" name="Overlap / double count checked"/>
    <tableColumn id="9" xr3:uid="{00000000-0010-0000-0400-000009000000}" name="Capacity skills and timing checked"/>
    <tableColumn id="10" xr3:uid="{00000000-0010-0000-0400-00000A000000}" name="Unresolved concern"/>
    <tableColumn id="11" xr3:uid="{00000000-0010-0000-0400-00000B000000}" name="Review resul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ctualMeasurements" displayName="ActualMeasurements" ref="A6:M56" totalsRowShown="0">
  <tableColumns count="13">
    <tableColumn id="1" xr3:uid="{00000000-0010-0000-0500-000001000000}" name="Case ID"/>
    <tableColumn id="2" xr3:uid="{00000000-0010-0000-0500-000002000000}" name="Measurement basis"/>
    <tableColumn id="3" xr3:uid="{00000000-0010-0000-0500-000003000000}" name="Period start"/>
    <tableColumn id="4" xr3:uid="{00000000-0010-0000-0500-000004000000}" name="Period end"/>
    <tableColumn id="5" xr3:uid="{00000000-0010-0000-0500-000005000000}" name="Business hours saved / year"/>
    <tableColumn id="6" xr3:uid="{00000000-0010-0000-0500-000006000000}" name="Specialist hours saved / year"/>
    <tableColumn id="7" xr3:uid="{00000000-0010-0000-0500-000007000000}" name="Recurring cash change €/year"/>
    <tableColumn id="8" xr3:uid="{00000000-0010-0000-0500-000008000000}" name="Labor-value change €/year • excludes cash"/>
    <tableColumn id="9" xr3:uid="{00000000-0010-0000-0500-000009000000}" name="Measurement evidence"/>
    <tableColumn id="10" xr3:uid="{00000000-0010-0000-0500-00000A000000}" name="Verified by"/>
    <tableColumn id="11" xr3:uid="{00000000-0010-0000-0500-00000B000000}" name="Verification date"/>
    <tableColumn id="12" xr3:uid="{00000000-0010-0000-0500-00000C000000}" name="Normalization / comparison basis"/>
    <tableColumn id="13" xr3:uid="{00000000-0010-0000-0500-00000D000000}" name="Measurement 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ReinvestmentDemands" displayName="ReinvestmentDemands" ref="A30:P50" totalsRowShown="0">
  <tableColumns count="16">
    <tableColumn id="1" xr3:uid="{00000000-0010-0000-0600-000001000000}" name="Demand ID"/>
    <tableColumn id="2" xr3:uid="{00000000-0010-0000-0600-000002000000}" name="Demand type"/>
    <tableColumn id="3" xr3:uid="{00000000-0010-0000-0600-000003000000}" name="Initiative"/>
    <tableColumn id="4" xr3:uid="{00000000-0010-0000-0600-000004000000}" name="Decision"/>
    <tableColumn id="5" xr3:uid="{00000000-0010-0000-0600-000005000000}" name="Business h/year"/>
    <tableColumn id="6" xr3:uid="{00000000-0010-0000-0600-000006000000}" name="Specialist h/year"/>
    <tableColumn id="7" xr3:uid="{00000000-0010-0000-0600-000007000000}" name="Recurring cash €/year"/>
    <tableColumn id="8" xr3:uid="{00000000-0010-0000-0600-000008000000}" name="One-time cost €"/>
    <tableColumn id="9" xr3:uid="{00000000-0010-0000-0600-000009000000}" name="Linked case ID"/>
    <tableColumn id="10" xr3:uid="{00000000-0010-0000-0600-00000A000000}" name="Already in case estimate?"/>
    <tableColumn id="11" xr3:uid="{00000000-0010-0000-0600-00000B000000}" name="Cost / overlap / resource-fit reference"/>
    <tableColumn id="12" xr3:uid="{00000000-0010-0000-0600-00000C000000}" name="Treatment • calculated"/>
    <tableColumn id="13" xr3:uid="{00000000-0010-0000-0600-00000D000000}" name="Extra business h"/>
    <tableColumn id="14" xr3:uid="{00000000-0010-0000-0600-00000E000000}" name="Extra specialist h"/>
    <tableColumn id="15" xr3:uid="{00000000-0010-0000-0600-00000F000000}" name="Extra cash €/year"/>
    <tableColumn id="16" xr3:uid="{00000000-0010-0000-0600-000010000000}" name="Extra one-time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ClassificationEvidence" displayName="ClassificationEvidence" ref="A6:H56" totalsRowShown="0">
  <tableColumns count="8">
    <tableColumn id="1" xr3:uid="{00000000-0010-0000-0700-000001000000}" name="Case ID"/>
    <tableColumn id="2" xr3:uid="{00000000-0010-0000-0700-000002000000}" name="Dominant label share"/>
    <tableColumn id="3" xr3:uid="{00000000-0010-0000-0700-000003000000}" name="Label-dependent DLP share"/>
    <tableColumn id="4" xr3:uid="{00000000-0010-0000-0700-000004000000}" name="Default changed share"/>
    <tableColumn id="5" xr3:uid="{00000000-0010-0000-0700-000005000000}" name="Important exception / boundary"/>
    <tableColumn id="6" xr3:uid="{00000000-0010-0000-0700-000006000000}" name="Test evidence reference"/>
    <tableColumn id="7" xr3:uid="{00000000-0010-0000-0700-000007000000}" name="Next test / action"/>
    <tableColumn id="8" xr3:uid="{00000000-0010-0000-0700-000008000000}" name="Interpretation • calculat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showGridLines="0" tabSelected="1" workbookViewId="0">
      <pane ySplit="6" topLeftCell="A7" activePane="bottomLeft" state="frozen"/>
      <selection pane="bottomLeft" sqref="A1:L2"/>
    </sheetView>
  </sheetViews>
  <sheetFormatPr baseColWidth="10" defaultColWidth="8.75" defaultRowHeight="14.25"/>
  <cols>
    <col min="1" max="12" width="12" customWidth="1"/>
  </cols>
  <sheetData>
    <row r="1" spans="1:12" ht="24" customHeight="1">
      <c r="A1" s="31" t="s">
        <v>0</v>
      </c>
      <c r="B1" s="31"/>
      <c r="C1" s="31"/>
      <c r="D1" s="31"/>
      <c r="E1" s="31"/>
      <c r="F1" s="31"/>
      <c r="G1" s="31"/>
      <c r="H1" s="31"/>
      <c r="I1" s="31"/>
      <c r="J1" s="31"/>
      <c r="K1" s="31"/>
      <c r="L1" s="31"/>
    </row>
    <row r="2" spans="1:12" ht="24" customHeight="1">
      <c r="A2" s="31"/>
      <c r="B2" s="31"/>
      <c r="C2" s="31"/>
      <c r="D2" s="31"/>
      <c r="E2" s="31"/>
      <c r="F2" s="31"/>
      <c r="G2" s="31"/>
      <c r="H2" s="31"/>
      <c r="I2" s="31"/>
      <c r="J2" s="31"/>
      <c r="K2" s="31"/>
      <c r="L2" s="31"/>
    </row>
    <row r="3" spans="1:12" ht="22.15" customHeight="1">
      <c r="A3" s="32" t="s">
        <v>1</v>
      </c>
      <c r="B3" s="32"/>
      <c r="C3" s="32"/>
      <c r="D3" s="32"/>
      <c r="E3" s="32"/>
      <c r="F3" s="32"/>
      <c r="G3" s="32"/>
      <c r="H3" s="32"/>
      <c r="I3" s="32"/>
      <c r="J3" s="32"/>
      <c r="K3" s="32"/>
      <c r="L3" s="32"/>
    </row>
    <row r="4" spans="1:12" ht="22.15" customHeight="1">
      <c r="A4" s="32"/>
      <c r="B4" s="32"/>
      <c r="C4" s="32"/>
      <c r="D4" s="32"/>
      <c r="E4" s="32"/>
      <c r="F4" s="32"/>
      <c r="G4" s="32"/>
      <c r="H4" s="32"/>
      <c r="I4" s="32"/>
      <c r="J4" s="32"/>
      <c r="K4" s="32"/>
      <c r="L4" s="32"/>
    </row>
    <row r="5" spans="1:12" ht="22.9" customHeight="1">
      <c r="A5" s="33" t="s">
        <v>2</v>
      </c>
      <c r="B5" s="33"/>
      <c r="C5" s="33"/>
      <c r="D5" s="33"/>
      <c r="E5" s="33"/>
      <c r="F5" s="33"/>
      <c r="G5" s="33"/>
      <c r="H5" s="33"/>
      <c r="I5" s="33"/>
      <c r="J5" s="33"/>
      <c r="K5" s="33"/>
      <c r="L5" s="33"/>
    </row>
    <row r="6" spans="1:12" ht="22.9" customHeight="1">
      <c r="A6" s="33"/>
      <c r="B6" s="33"/>
      <c r="C6" s="33"/>
      <c r="D6" s="33"/>
      <c r="E6" s="33"/>
      <c r="F6" s="33"/>
      <c r="G6" s="33"/>
      <c r="H6" s="33"/>
      <c r="I6" s="33"/>
      <c r="J6" s="33"/>
      <c r="K6" s="33"/>
      <c r="L6" s="33"/>
    </row>
    <row r="7" spans="1:12" ht="22.9" customHeight="1">
      <c r="A7" s="1"/>
      <c r="B7" s="1"/>
      <c r="C7" s="1"/>
      <c r="D7" s="1"/>
      <c r="E7" s="1"/>
      <c r="F7" s="1"/>
      <c r="G7" s="1"/>
      <c r="H7" s="1"/>
      <c r="I7" s="1"/>
      <c r="J7" s="1"/>
      <c r="K7" s="1"/>
      <c r="L7" s="1"/>
    </row>
    <row r="8" spans="1:12" ht="22.9" customHeight="1">
      <c r="A8" s="34" t="s">
        <v>3</v>
      </c>
      <c r="B8" s="34"/>
      <c r="C8" s="34"/>
      <c r="D8" s="34"/>
      <c r="E8" s="34" t="s">
        <v>4</v>
      </c>
      <c r="F8" s="34"/>
      <c r="G8" s="34"/>
      <c r="H8" s="34"/>
      <c r="I8" s="34" t="s">
        <v>5</v>
      </c>
      <c r="J8" s="34"/>
      <c r="K8" s="34"/>
      <c r="L8" s="34"/>
    </row>
    <row r="9" spans="1:12" ht="22.9" customHeight="1">
      <c r="A9" s="35">
        <f>COUNTIF(Cases!B7:B56,"Live")</f>
        <v>0</v>
      </c>
      <c r="B9" s="35"/>
      <c r="C9" s="35"/>
      <c r="D9" s="35"/>
      <c r="E9" s="35">
        <f>SUM(Checks!K7:K56)</f>
        <v>0</v>
      </c>
      <c r="F9" s="35"/>
      <c r="G9" s="35"/>
      <c r="H9" s="35"/>
      <c r="I9" s="35">
        <f>SUM(Checks!L7:L56)</f>
        <v>0</v>
      </c>
      <c r="J9" s="35"/>
      <c r="K9" s="35"/>
      <c r="L9" s="35"/>
    </row>
    <row r="10" spans="1:12" ht="22.9" customHeight="1">
      <c r="A10" s="35"/>
      <c r="B10" s="35"/>
      <c r="C10" s="35"/>
      <c r="D10" s="35"/>
      <c r="E10" s="35"/>
      <c r="F10" s="35"/>
      <c r="G10" s="35"/>
      <c r="H10" s="35"/>
      <c r="I10" s="35"/>
      <c r="J10" s="35"/>
      <c r="K10" s="35"/>
      <c r="L10" s="35"/>
    </row>
    <row r="11" spans="1:12" ht="22.9" customHeight="1">
      <c r="A11" s="1"/>
      <c r="B11" s="1"/>
      <c r="C11" s="1"/>
      <c r="D11" s="1"/>
      <c r="E11" s="1"/>
      <c r="F11" s="1"/>
      <c r="G11" s="1"/>
      <c r="H11" s="1"/>
      <c r="I11" s="1"/>
      <c r="J11" s="1"/>
      <c r="K11" s="1"/>
      <c r="L11" s="1"/>
    </row>
    <row r="12" spans="1:12" ht="22.9" customHeight="1">
      <c r="A12" s="30" t="str">
        <f>IF(OR(COUNTBLANK('Review &amp; Decision'!M7:M56)&gt;0,COUNTBLANK(Checks!J7:J56)&gt;0,COUNT(Checks!K7:K56)&lt;50,COUNT(Checks!L7:L56)&lt;50,COUNT(Checks!M7:M56)&lt;50,COUNTIF(Checks!AG7:AG56,0)&gt;0),"Integrity warning: missing readiness output or duplicate/missing key. Do not rely on planning totals.",IF(COUNTIF(Checks!AF7:AF56,"Missing measured evidence")&gt;0,"Action required: one or more live Realized cases lack complete measurement evidence.","Readiness checks present. Examples, unchecked reviews and open decisions are excluded from live planning."))</f>
        <v>Readiness checks present. Examples, unchecked reviews and open decisions are excluded from live planning.</v>
      </c>
      <c r="B12" s="30"/>
      <c r="C12" s="30"/>
      <c r="D12" s="30"/>
      <c r="E12" s="30"/>
      <c r="F12" s="30"/>
      <c r="G12" s="30"/>
      <c r="H12" s="30"/>
      <c r="I12" s="30"/>
      <c r="J12" s="30"/>
      <c r="K12" s="30"/>
      <c r="L12" s="30"/>
    </row>
    <row r="13" spans="1:12" ht="22.9" customHeight="1">
      <c r="A13" s="30"/>
      <c r="B13" s="30"/>
      <c r="C13" s="30"/>
      <c r="D13" s="30"/>
      <c r="E13" s="30"/>
      <c r="F13" s="30"/>
      <c r="G13" s="30"/>
      <c r="H13" s="30"/>
      <c r="I13" s="30"/>
      <c r="J13" s="30"/>
      <c r="K13" s="30"/>
      <c r="L13" s="30"/>
    </row>
    <row r="14" spans="1:12" ht="22.9" customHeight="1">
      <c r="A14" s="1"/>
      <c r="B14" s="1"/>
      <c r="C14" s="1"/>
      <c r="D14" s="1"/>
      <c r="E14" s="1"/>
      <c r="F14" s="1"/>
      <c r="G14" s="1"/>
      <c r="H14" s="1"/>
      <c r="I14" s="1"/>
      <c r="J14" s="1"/>
      <c r="K14" s="1"/>
      <c r="L14" s="1"/>
    </row>
    <row r="15" spans="1:12" ht="25.15" customHeight="1">
      <c r="A15" s="25" t="s">
        <v>6</v>
      </c>
      <c r="B15" s="25"/>
      <c r="C15" s="25"/>
      <c r="D15" s="25"/>
      <c r="E15" s="25"/>
      <c r="F15" s="25"/>
      <c r="G15" s="25"/>
      <c r="H15" s="25"/>
      <c r="I15" s="25"/>
      <c r="J15" s="25"/>
      <c r="K15" s="25"/>
      <c r="L15" s="25"/>
    </row>
    <row r="16" spans="1:12" ht="22.9" customHeight="1">
      <c r="A16" s="29" t="str">
        <f>IFERROR(HYPERLINK("#'Case View'!A1","1  Explore / select a case"),"1  Explore / select a case")</f>
        <v>1  Explore / select a case</v>
      </c>
      <c r="B16" s="29"/>
      <c r="C16" s="29"/>
      <c r="D16" s="29"/>
      <c r="E16" s="22" t="s">
        <v>7</v>
      </c>
      <c r="F16" s="22"/>
      <c r="G16" s="22"/>
      <c r="H16" s="22"/>
      <c r="I16" s="22"/>
      <c r="J16" s="22"/>
      <c r="K16" s="22"/>
      <c r="L16" s="22"/>
    </row>
    <row r="17" spans="1:12" ht="22.9" customHeight="1">
      <c r="A17" s="29"/>
      <c r="B17" s="29"/>
      <c r="C17" s="29"/>
      <c r="D17" s="29"/>
      <c r="E17" s="22"/>
      <c r="F17" s="22"/>
      <c r="G17" s="22"/>
      <c r="H17" s="22"/>
      <c r="I17" s="22"/>
      <c r="J17" s="22"/>
      <c r="K17" s="22"/>
      <c r="L17" s="22"/>
    </row>
    <row r="18" spans="1:12" ht="22.9" customHeight="1">
      <c r="A18" s="29" t="str">
        <f>IFERROR(HYPERLINK("#'Cases'!C18","2  Define scope and proposal"),"2  Define scope and proposal")</f>
        <v>2  Define scope and proposal</v>
      </c>
      <c r="B18" s="29"/>
      <c r="C18" s="29"/>
      <c r="D18" s="29"/>
      <c r="E18" s="22" t="s">
        <v>8</v>
      </c>
      <c r="F18" s="22"/>
      <c r="G18" s="22"/>
      <c r="H18" s="22"/>
      <c r="I18" s="22"/>
      <c r="J18" s="22"/>
      <c r="K18" s="22"/>
      <c r="L18" s="22"/>
    </row>
    <row r="19" spans="1:12" ht="22.9" customHeight="1">
      <c r="A19" s="29"/>
      <c r="B19" s="29"/>
      <c r="C19" s="29"/>
      <c r="D19" s="29"/>
      <c r="E19" s="22"/>
      <c r="F19" s="22"/>
      <c r="G19" s="22"/>
      <c r="H19" s="22"/>
      <c r="I19" s="22"/>
      <c r="J19" s="22"/>
      <c r="K19" s="22"/>
      <c r="L19" s="22"/>
    </row>
    <row r="20" spans="1:12" ht="22.9" customHeight="1">
      <c r="A20" s="29" t="str">
        <f>IFERROR(HYPERLINK("#'Current'!B18","3  Compare both profiles"),"3  Compare both profiles")</f>
        <v>3  Compare both profiles</v>
      </c>
      <c r="B20" s="29"/>
      <c r="C20" s="29"/>
      <c r="D20" s="29"/>
      <c r="E20" s="22" t="s">
        <v>9</v>
      </c>
      <c r="F20" s="22"/>
      <c r="G20" s="22"/>
      <c r="H20" s="22"/>
      <c r="I20" s="22"/>
      <c r="J20" s="22"/>
      <c r="K20" s="22"/>
      <c r="L20" s="22"/>
    </row>
    <row r="21" spans="1:12" ht="22.9" customHeight="1">
      <c r="A21" s="29"/>
      <c r="B21" s="29"/>
      <c r="C21" s="29"/>
      <c r="D21" s="29"/>
      <c r="E21" s="22"/>
      <c r="F21" s="22"/>
      <c r="G21" s="22"/>
      <c r="H21" s="22"/>
      <c r="I21" s="22"/>
      <c r="J21" s="22"/>
      <c r="K21" s="22"/>
      <c r="L21" s="22"/>
    </row>
    <row r="22" spans="1:12" ht="22.9" customHeight="1">
      <c r="A22" s="29" t="str">
        <f>IFERROR(HYPERLINK("#'Review &amp; Decision'!B18","4  Review and approve"),"4  Review and approve")</f>
        <v>4  Review and approve</v>
      </c>
      <c r="B22" s="29"/>
      <c r="C22" s="29"/>
      <c r="D22" s="29"/>
      <c r="E22" s="22" t="s">
        <v>10</v>
      </c>
      <c r="F22" s="22"/>
      <c r="G22" s="22"/>
      <c r="H22" s="22"/>
      <c r="I22" s="22"/>
      <c r="J22" s="22"/>
      <c r="K22" s="22"/>
      <c r="L22" s="22"/>
    </row>
    <row r="23" spans="1:12" ht="22.9" customHeight="1">
      <c r="A23" s="29"/>
      <c r="B23" s="29"/>
      <c r="C23" s="29"/>
      <c r="D23" s="29"/>
      <c r="E23" s="22"/>
      <c r="F23" s="22"/>
      <c r="G23" s="22"/>
      <c r="H23" s="22"/>
      <c r="I23" s="22"/>
      <c r="J23" s="22"/>
      <c r="K23" s="22"/>
      <c r="L23" s="22"/>
    </row>
    <row r="24" spans="1:12" ht="22.9" customHeight="1">
      <c r="A24" s="29" t="str">
        <f>IFERROR(HYPERLINK("#'Actuals'!B18","5  Measure; then plan"),"5  Measure; then plan")</f>
        <v>5  Measure; then plan</v>
      </c>
      <c r="B24" s="29"/>
      <c r="C24" s="29"/>
      <c r="D24" s="29"/>
      <c r="E24" s="22" t="s">
        <v>11</v>
      </c>
      <c r="F24" s="22"/>
      <c r="G24" s="22"/>
      <c r="H24" s="22"/>
      <c r="I24" s="22"/>
      <c r="J24" s="22"/>
      <c r="K24" s="22"/>
      <c r="L24" s="22"/>
    </row>
    <row r="25" spans="1:12" ht="22.9" customHeight="1">
      <c r="A25" s="29"/>
      <c r="B25" s="29"/>
      <c r="C25" s="29"/>
      <c r="D25" s="29"/>
      <c r="E25" s="22"/>
      <c r="F25" s="22"/>
      <c r="G25" s="22"/>
      <c r="H25" s="22"/>
      <c r="I25" s="22"/>
      <c r="J25" s="22"/>
      <c r="K25" s="22"/>
      <c r="L25" s="22"/>
    </row>
    <row r="26" spans="1:12" ht="22.9" customHeight="1">
      <c r="A26" s="1"/>
      <c r="B26" s="1"/>
      <c r="C26" s="1"/>
      <c r="D26" s="1"/>
      <c r="E26" s="1"/>
      <c r="F26" s="1"/>
      <c r="G26" s="1"/>
      <c r="H26" s="1"/>
      <c r="I26" s="1"/>
      <c r="J26" s="1"/>
      <c r="K26" s="1"/>
      <c r="L26" s="1"/>
    </row>
    <row r="27" spans="1:12" ht="34.15" customHeight="1">
      <c r="A27" s="21" t="str">
        <f>IFERROR(HYPERLINK("#'Guide'!A1","Read the short user guide"),"Read the short user guide")</f>
        <v>Read the short user guide</v>
      </c>
      <c r="B27" s="21"/>
      <c r="C27" s="21"/>
      <c r="D27" s="21"/>
      <c r="E27" s="21" t="str">
        <f>IFERROR(HYPERLINK("#'Reinvestment'!A1","Open the live resource plan"),"Open the live resource plan")</f>
        <v>Open the live resource plan</v>
      </c>
      <c r="F27" s="21"/>
      <c r="G27" s="21"/>
      <c r="H27" s="21"/>
      <c r="I27" s="21" t="str">
        <f>IFERROR(HYPERLINK("#'Settings'!A1","Settings / workload helper"),"Settings / workload helper")</f>
        <v>Settings / workload helper</v>
      </c>
      <c r="J27" s="21"/>
      <c r="K27" s="21"/>
      <c r="L27" s="21"/>
    </row>
    <row r="28" spans="1:12" ht="22.9" customHeight="1">
      <c r="A28" s="1"/>
      <c r="B28" s="1"/>
      <c r="C28" s="1"/>
      <c r="D28" s="1"/>
      <c r="E28" s="1"/>
      <c r="F28" s="1"/>
      <c r="G28" s="1"/>
      <c r="H28" s="1"/>
      <c r="I28" s="1"/>
      <c r="J28" s="1"/>
      <c r="K28" s="1"/>
      <c r="L28" s="1"/>
    </row>
    <row r="29" spans="1:12" ht="25.15" customHeight="1">
      <c r="A29" s="25" t="s">
        <v>12</v>
      </c>
      <c r="B29" s="25"/>
      <c r="C29" s="25"/>
      <c r="D29" s="25"/>
      <c r="E29" s="25"/>
      <c r="F29" s="25"/>
      <c r="G29" s="25"/>
      <c r="H29" s="25"/>
      <c r="I29" s="25"/>
      <c r="J29" s="25"/>
      <c r="K29" s="25"/>
      <c r="L29" s="25"/>
    </row>
    <row r="30" spans="1:12" ht="34.9" customHeight="1">
      <c r="A30" s="21" t="s">
        <v>13</v>
      </c>
      <c r="B30" s="21"/>
      <c r="C30" s="21"/>
      <c r="D30" s="21"/>
      <c r="E30" s="21" t="s">
        <v>14</v>
      </c>
      <c r="F30" s="21"/>
      <c r="G30" s="21" t="s">
        <v>15</v>
      </c>
      <c r="H30" s="21"/>
      <c r="I30" s="21" t="s">
        <v>16</v>
      </c>
      <c r="J30" s="21"/>
      <c r="K30" s="21" t="s">
        <v>17</v>
      </c>
      <c r="L30" s="21"/>
    </row>
    <row r="31" spans="1:12" ht="22.9" customHeight="1">
      <c r="A31" s="22" t="s">
        <v>18</v>
      </c>
      <c r="B31" s="22"/>
      <c r="C31" s="22"/>
      <c r="D31" s="22"/>
      <c r="E31" s="28">
        <f>SUMIFS(Checks!P7:P56,Checks!B7:B56,"Live",Checks!AH7:AH56,1)</f>
        <v>0</v>
      </c>
      <c r="F31" s="28"/>
      <c r="G31" s="28">
        <f>SUMIFS(Checks!P7:P56,Checks!K7:K56,1)</f>
        <v>0</v>
      </c>
      <c r="H31" s="28"/>
      <c r="I31" s="28">
        <f>SUMIFS(Checks!AL7:AL56,Checks!L7:L56,1)</f>
        <v>0</v>
      </c>
      <c r="J31" s="28"/>
      <c r="K31" s="28">
        <f>SUM(Checks!AA7:AA56)</f>
        <v>0</v>
      </c>
      <c r="L31" s="28"/>
    </row>
    <row r="32" spans="1:12" ht="22.9" customHeight="1">
      <c r="A32" s="22" t="s">
        <v>19</v>
      </c>
      <c r="B32" s="22"/>
      <c r="C32" s="22"/>
      <c r="D32" s="22"/>
      <c r="E32" s="28">
        <f>SUMIFS(Checks!S7:S56,Checks!B7:B56,"Live",Checks!AH7:AH56,1)</f>
        <v>0</v>
      </c>
      <c r="F32" s="28"/>
      <c r="G32" s="28">
        <f>SUMIFS(Checks!S7:S56,Checks!K7:K56,1)</f>
        <v>0</v>
      </c>
      <c r="H32" s="28"/>
      <c r="I32" s="28">
        <f>SUMIFS(Checks!AM7:AM56,Checks!L7:L56,1)</f>
        <v>0</v>
      </c>
      <c r="J32" s="28"/>
      <c r="K32" s="28">
        <f>SUM(Checks!AB7:AB56)</f>
        <v>0</v>
      </c>
      <c r="L32" s="28"/>
    </row>
    <row r="33" spans="1:12" ht="22.9" customHeight="1">
      <c r="A33" s="22" t="s">
        <v>20</v>
      </c>
      <c r="B33" s="22"/>
      <c r="C33" s="22"/>
      <c r="D33" s="22"/>
      <c r="E33" s="26">
        <f>SUMIFS(Checks!V7:V56,Checks!B7:B56,"Live",Checks!AH7:AH56,1)</f>
        <v>0</v>
      </c>
      <c r="F33" s="26"/>
      <c r="G33" s="26">
        <f>SUMIFS(Checks!V7:V56,Checks!K7:K56,1)</f>
        <v>0</v>
      </c>
      <c r="H33" s="26"/>
      <c r="I33" s="26">
        <f>SUMIFS(Checks!AN7:AN56,Checks!L7:L56,1)</f>
        <v>0</v>
      </c>
      <c r="J33" s="26"/>
      <c r="K33" s="26">
        <f>SUM(Checks!AC7:AC56)</f>
        <v>0</v>
      </c>
      <c r="L33" s="26"/>
    </row>
    <row r="34" spans="1:12" ht="22.9" customHeight="1">
      <c r="A34" s="22" t="s">
        <v>21</v>
      </c>
      <c r="B34" s="22"/>
      <c r="C34" s="22"/>
      <c r="D34" s="22"/>
      <c r="E34" s="26">
        <f>SUMIFS(Checks!Y7:Y56,Checks!B7:B56,"Live",Checks!AH7:AH56,1)</f>
        <v>0</v>
      </c>
      <c r="F34" s="26"/>
      <c r="G34" s="26">
        <f>SUMIFS(Checks!Y7:Y56,Checks!K7:K56,1)</f>
        <v>0</v>
      </c>
      <c r="H34" s="26"/>
      <c r="I34" s="26">
        <f>SUMIFS(Checks!AO7:AO56,Checks!L7:L56,1)</f>
        <v>0</v>
      </c>
      <c r="J34" s="26"/>
      <c r="K34" s="27" t="s">
        <v>22</v>
      </c>
      <c r="L34" s="27"/>
    </row>
    <row r="35" spans="1:12" ht="22.9" customHeight="1">
      <c r="A35" s="22" t="s">
        <v>23</v>
      </c>
      <c r="B35" s="22"/>
      <c r="C35" s="22"/>
      <c r="D35" s="22"/>
      <c r="E35" s="26">
        <f>SUMIFS(Checks!Z7:Z56,Checks!B7:B56,"Live",Checks!AH7:AH56,1)</f>
        <v>0</v>
      </c>
      <c r="F35" s="26"/>
      <c r="G35" s="26">
        <f>SUMIFS(Checks!Z7:Z56,Checks!K7:K56,1)</f>
        <v>0</v>
      </c>
      <c r="H35" s="26"/>
      <c r="I35" s="27" t="s">
        <v>24</v>
      </c>
      <c r="J35" s="27"/>
      <c r="K35" s="26">
        <f>SUM(Checks!AD7:AD56)</f>
        <v>0</v>
      </c>
      <c r="L35" s="26"/>
    </row>
    <row r="36" spans="1:12" ht="22.9" customHeight="1">
      <c r="A36" s="1"/>
      <c r="B36" s="1"/>
      <c r="C36" s="1"/>
      <c r="D36" s="1"/>
      <c r="E36" s="1"/>
      <c r="F36" s="1"/>
      <c r="G36" s="1"/>
      <c r="H36" s="1"/>
      <c r="I36" s="1"/>
      <c r="J36" s="1"/>
      <c r="K36" s="1"/>
      <c r="L36" s="1"/>
    </row>
    <row r="37" spans="1:12" ht="22.9" customHeight="1">
      <c r="A37" s="1"/>
      <c r="B37" s="1"/>
      <c r="C37" s="1"/>
      <c r="D37" s="1"/>
      <c r="E37" s="1"/>
      <c r="F37" s="1"/>
      <c r="G37" s="1"/>
      <c r="H37" s="1"/>
      <c r="I37" s="1"/>
      <c r="J37" s="1"/>
      <c r="K37" s="1"/>
      <c r="L37" s="1"/>
    </row>
    <row r="38" spans="1:12" ht="25.15" customHeight="1">
      <c r="A38" s="25" t="s">
        <v>25</v>
      </c>
      <c r="B38" s="25"/>
      <c r="C38" s="25"/>
      <c r="D38" s="25"/>
      <c r="E38" s="25"/>
      <c r="F38" s="25"/>
      <c r="G38" s="25"/>
      <c r="H38" s="25"/>
      <c r="I38" s="25"/>
      <c r="J38" s="25"/>
      <c r="K38" s="25"/>
      <c r="L38" s="25"/>
    </row>
    <row r="39" spans="1:12" ht="22.9" customHeight="1">
      <c r="A39" s="22" t="s">
        <v>26</v>
      </c>
      <c r="B39" s="22"/>
      <c r="C39" s="22"/>
      <c r="D39" s="22"/>
      <c r="E39" s="22"/>
      <c r="F39" s="22"/>
      <c r="G39" s="22"/>
      <c r="H39" s="24">
        <f>SUMIFS(Checks!W7:W56,Checks!B7:B56,"Example",Checks!AH7:AH56,1)</f>
        <v>1423050</v>
      </c>
      <c r="I39" s="24"/>
      <c r="J39" s="24"/>
      <c r="K39" s="24"/>
      <c r="L39" s="24"/>
    </row>
    <row r="40" spans="1:12" ht="22.9" customHeight="1">
      <c r="A40" s="22" t="s">
        <v>27</v>
      </c>
      <c r="B40" s="22"/>
      <c r="C40" s="22"/>
      <c r="D40" s="22"/>
      <c r="E40" s="22"/>
      <c r="F40" s="22"/>
      <c r="G40" s="22"/>
      <c r="H40" s="23">
        <f>SUMIFS(Checks!P7:P56,Checks!B7:B56,"Example",Checks!AH7:AH56,1)</f>
        <v>14313.333333333332</v>
      </c>
      <c r="I40" s="23"/>
      <c r="J40" s="23"/>
      <c r="K40" s="23"/>
      <c r="L40" s="23"/>
    </row>
    <row r="41" spans="1:12" ht="22.9" customHeight="1">
      <c r="A41" s="22" t="s">
        <v>28</v>
      </c>
      <c r="B41" s="22"/>
      <c r="C41" s="22"/>
      <c r="D41" s="22"/>
      <c r="E41" s="22"/>
      <c r="F41" s="22"/>
      <c r="G41" s="22"/>
      <c r="H41" s="23">
        <f>SUMIFS(Checks!S7:S56,Checks!B7:B56,"Example",Checks!AH7:AH56,1)</f>
        <v>1370</v>
      </c>
      <c r="I41" s="23"/>
      <c r="J41" s="23"/>
      <c r="K41" s="23"/>
      <c r="L41" s="23"/>
    </row>
    <row r="42" spans="1:12" ht="22.9" customHeight="1">
      <c r="A42" s="22" t="s">
        <v>20</v>
      </c>
      <c r="B42" s="22"/>
      <c r="C42" s="22"/>
      <c r="D42" s="22"/>
      <c r="E42" s="22"/>
      <c r="F42" s="22"/>
      <c r="G42" s="22"/>
      <c r="H42" s="24">
        <f>SUMIFS(Checks!V7:V56,Checks!B7:B56,"Example",Checks!AH7:AH56,1)</f>
        <v>-97000</v>
      </c>
      <c r="I42" s="24"/>
      <c r="J42" s="24"/>
      <c r="K42" s="24"/>
      <c r="L42" s="24"/>
    </row>
    <row r="43" spans="1:12" ht="22.9" customHeight="1">
      <c r="A43" s="22" t="s">
        <v>29</v>
      </c>
      <c r="B43" s="22"/>
      <c r="C43" s="22"/>
      <c r="D43" s="22"/>
      <c r="E43" s="22"/>
      <c r="F43" s="22"/>
      <c r="G43" s="22"/>
      <c r="H43" s="24">
        <f>SUMIFS(Checks!Y7:Y56,Checks!B7:B56,"Example",Checks!AH7:AH56,1)</f>
        <v>899050</v>
      </c>
      <c r="I43" s="24"/>
      <c r="J43" s="24"/>
      <c r="K43" s="24"/>
      <c r="L43" s="24"/>
    </row>
    <row r="44" spans="1:12" ht="22.9" customHeight="1">
      <c r="A44" s="1"/>
      <c r="B44" s="1"/>
      <c r="C44" s="1"/>
      <c r="D44" s="1"/>
      <c r="E44" s="1"/>
      <c r="F44" s="1"/>
      <c r="G44" s="1"/>
      <c r="H44" s="1"/>
      <c r="I44" s="1"/>
      <c r="J44" s="1"/>
      <c r="K44" s="1"/>
      <c r="L44" s="1"/>
    </row>
    <row r="45" spans="1:12" ht="22.9" customHeight="1">
      <c r="A45" s="21" t="s">
        <v>30</v>
      </c>
      <c r="B45" s="21"/>
      <c r="C45" s="21"/>
      <c r="D45" s="21"/>
      <c r="E45" s="21"/>
      <c r="F45" s="21"/>
      <c r="G45" s="21"/>
      <c r="H45" s="21"/>
      <c r="I45" s="21"/>
      <c r="J45" s="21"/>
      <c r="K45" s="21"/>
      <c r="L45" s="21"/>
    </row>
    <row r="46" spans="1:12" ht="22.9" customHeight="1">
      <c r="A46" s="21"/>
      <c r="B46" s="21"/>
      <c r="C46" s="21"/>
      <c r="D46" s="21"/>
      <c r="E46" s="21"/>
      <c r="F46" s="21"/>
      <c r="G46" s="21"/>
      <c r="H46" s="21"/>
      <c r="I46" s="21"/>
      <c r="J46" s="21"/>
      <c r="K46" s="21"/>
      <c r="L46" s="21"/>
    </row>
    <row r="47" spans="1:12" ht="22.9" customHeight="1">
      <c r="A47" s="21"/>
      <c r="B47" s="21"/>
      <c r="C47" s="21"/>
      <c r="D47" s="21"/>
      <c r="E47" s="21"/>
      <c r="F47" s="21"/>
      <c r="G47" s="21"/>
      <c r="H47" s="21"/>
      <c r="I47" s="21"/>
      <c r="J47" s="21"/>
      <c r="K47" s="21"/>
      <c r="L47" s="21"/>
    </row>
    <row r="48" spans="1:12" ht="22.9" customHeight="1">
      <c r="A48" s="21"/>
      <c r="B48" s="21"/>
      <c r="C48" s="21"/>
      <c r="D48" s="21"/>
      <c r="E48" s="21"/>
      <c r="F48" s="21"/>
      <c r="G48" s="21"/>
      <c r="H48" s="21"/>
      <c r="I48" s="21"/>
      <c r="J48" s="21"/>
      <c r="K48" s="21"/>
      <c r="L48" s="21"/>
    </row>
    <row r="49" spans="1:12" ht="22.9" customHeight="1">
      <c r="A49" s="1"/>
      <c r="B49" s="1"/>
      <c r="C49" s="1"/>
      <c r="D49" s="1"/>
      <c r="E49" s="1"/>
      <c r="F49" s="1"/>
      <c r="G49" s="1"/>
      <c r="H49" s="1"/>
      <c r="I49" s="1"/>
      <c r="J49" s="1"/>
      <c r="K49" s="1"/>
      <c r="L49" s="1"/>
    </row>
    <row r="50" spans="1:12" ht="22.9" customHeight="1">
      <c r="A50" s="1"/>
      <c r="B50" s="1"/>
      <c r="C50" s="1"/>
      <c r="D50" s="1"/>
      <c r="E50" s="1"/>
      <c r="F50" s="1"/>
      <c r="G50" s="1"/>
      <c r="H50" s="1"/>
      <c r="I50" s="1"/>
      <c r="J50" s="1"/>
      <c r="K50" s="1"/>
      <c r="L50" s="1"/>
    </row>
    <row r="51" spans="1:12" ht="22.9" customHeight="1">
      <c r="A51" s="1"/>
      <c r="B51" s="1"/>
      <c r="C51" s="1"/>
      <c r="D51" s="1"/>
      <c r="E51" s="1"/>
      <c r="F51" s="1"/>
      <c r="G51" s="1"/>
      <c r="H51" s="1"/>
      <c r="I51" s="1"/>
      <c r="J51" s="1"/>
      <c r="K51" s="1"/>
      <c r="L51" s="1"/>
    </row>
    <row r="52" spans="1:12" ht="22.9" customHeight="1">
      <c r="A52" s="1"/>
      <c r="B52" s="1"/>
      <c r="C52" s="1"/>
      <c r="D52" s="1"/>
      <c r="E52" s="1"/>
      <c r="F52" s="1"/>
      <c r="G52" s="1"/>
      <c r="H52" s="1"/>
      <c r="I52" s="1"/>
      <c r="J52" s="1"/>
      <c r="K52" s="1"/>
      <c r="L52" s="1"/>
    </row>
    <row r="53" spans="1:12" ht="22.9" customHeight="1">
      <c r="A53" s="1"/>
      <c r="B53" s="1"/>
      <c r="C53" s="1"/>
      <c r="D53" s="1"/>
      <c r="E53" s="1"/>
      <c r="F53" s="1"/>
      <c r="G53" s="1"/>
      <c r="H53" s="1"/>
      <c r="I53" s="1"/>
      <c r="J53" s="1"/>
      <c r="K53" s="1"/>
      <c r="L53" s="1"/>
    </row>
    <row r="54" spans="1:12" ht="22.9" customHeight="1">
      <c r="A54" s="1"/>
      <c r="B54" s="1"/>
      <c r="C54" s="1"/>
      <c r="D54" s="1"/>
      <c r="E54" s="1"/>
      <c r="F54" s="1"/>
      <c r="G54" s="1"/>
      <c r="H54" s="1"/>
      <c r="I54" s="1"/>
      <c r="J54" s="1"/>
      <c r="K54" s="1"/>
      <c r="L54" s="1"/>
    </row>
    <row r="55" spans="1:12" ht="22.9" customHeight="1">
      <c r="A55" s="1"/>
      <c r="B55" s="1"/>
      <c r="C55" s="1"/>
      <c r="D55" s="1"/>
      <c r="E55" s="1"/>
      <c r="F55" s="1"/>
      <c r="G55" s="1"/>
      <c r="H55" s="1"/>
      <c r="I55" s="1"/>
      <c r="J55" s="1"/>
      <c r="K55" s="1"/>
      <c r="L55" s="1"/>
    </row>
    <row r="56" spans="1:12" ht="22.9" customHeight="1">
      <c r="A56" s="1"/>
      <c r="B56" s="1"/>
      <c r="C56" s="1"/>
      <c r="D56" s="1"/>
      <c r="E56" s="1"/>
      <c r="F56" s="1"/>
      <c r="G56" s="1"/>
      <c r="H56" s="1"/>
      <c r="I56" s="1"/>
      <c r="J56" s="1"/>
      <c r="K56" s="1"/>
      <c r="L56" s="1"/>
    </row>
    <row r="57" spans="1:12" ht="22.9" customHeight="1">
      <c r="A57" s="1"/>
      <c r="B57" s="1"/>
      <c r="C57" s="1"/>
      <c r="D57" s="1"/>
      <c r="E57" s="1"/>
      <c r="F57" s="1"/>
      <c r="G57" s="1"/>
      <c r="H57" s="1"/>
      <c r="I57" s="1"/>
      <c r="J57" s="1"/>
      <c r="K57" s="1"/>
      <c r="L57" s="1"/>
    </row>
    <row r="58" spans="1:12" ht="22.9" customHeight="1">
      <c r="A58" s="1"/>
      <c r="B58" s="1"/>
      <c r="C58" s="1"/>
      <c r="D58" s="1"/>
      <c r="E58" s="1"/>
      <c r="F58" s="1"/>
      <c r="G58" s="1"/>
      <c r="H58" s="1"/>
      <c r="I58" s="1"/>
      <c r="J58" s="1"/>
      <c r="K58" s="1"/>
      <c r="L58" s="1"/>
    </row>
    <row r="59" spans="1:12" ht="22.9" customHeight="1">
      <c r="A59" s="1"/>
      <c r="B59" s="1"/>
      <c r="C59" s="1"/>
      <c r="D59" s="1"/>
      <c r="E59" s="1"/>
      <c r="F59" s="1"/>
      <c r="G59" s="1"/>
      <c r="H59" s="1"/>
      <c r="I59" s="1"/>
      <c r="J59" s="1"/>
      <c r="K59" s="1"/>
      <c r="L59" s="1"/>
    </row>
    <row r="60" spans="1:12" ht="22.9" customHeight="1">
      <c r="A60" s="1"/>
      <c r="B60" s="1"/>
      <c r="C60" s="1"/>
      <c r="D60" s="1"/>
      <c r="E60" s="1"/>
      <c r="F60" s="1"/>
      <c r="G60" s="1"/>
      <c r="H60" s="1"/>
      <c r="I60" s="1"/>
      <c r="J60" s="1"/>
      <c r="K60" s="1"/>
      <c r="L60" s="1"/>
    </row>
    <row r="61" spans="1:12" ht="22.9" customHeight="1">
      <c r="A61" s="1"/>
      <c r="B61" s="1"/>
      <c r="C61" s="1"/>
      <c r="D61" s="1"/>
      <c r="E61" s="1"/>
      <c r="F61" s="1"/>
      <c r="G61" s="1"/>
      <c r="H61" s="1"/>
      <c r="I61" s="1"/>
      <c r="J61" s="1"/>
      <c r="K61" s="1"/>
      <c r="L61" s="1"/>
    </row>
    <row r="62" spans="1:12" ht="22.9" customHeight="1">
      <c r="A62" s="1"/>
      <c r="B62" s="1"/>
      <c r="C62" s="1"/>
      <c r="D62" s="1"/>
      <c r="E62" s="1"/>
      <c r="F62" s="1"/>
      <c r="G62" s="1"/>
      <c r="H62" s="1"/>
      <c r="I62" s="1"/>
      <c r="J62" s="1"/>
      <c r="K62" s="1"/>
      <c r="L62" s="1"/>
    </row>
    <row r="63" spans="1:12" ht="22.9" customHeight="1">
      <c r="A63" s="1"/>
      <c r="B63" s="1"/>
      <c r="C63" s="1"/>
      <c r="D63" s="1"/>
      <c r="E63" s="1"/>
      <c r="F63" s="1"/>
      <c r="G63" s="1"/>
      <c r="H63" s="1"/>
      <c r="I63" s="1"/>
      <c r="J63" s="1"/>
      <c r="K63" s="1"/>
      <c r="L63" s="1"/>
    </row>
    <row r="64" spans="1:12" ht="22.9" customHeight="1">
      <c r="A64" s="1"/>
      <c r="B64" s="1"/>
      <c r="C64" s="1"/>
      <c r="D64" s="1"/>
      <c r="E64" s="1"/>
      <c r="F64" s="1"/>
      <c r="G64" s="1"/>
      <c r="H64" s="1"/>
      <c r="I64" s="1"/>
      <c r="J64" s="1"/>
      <c r="K64" s="1"/>
      <c r="L64" s="1"/>
    </row>
    <row r="65" spans="1:12" ht="22.9" customHeight="1">
      <c r="A65" s="1"/>
      <c r="B65" s="1"/>
      <c r="C65" s="1"/>
      <c r="D65" s="1"/>
      <c r="E65" s="1"/>
      <c r="F65" s="1"/>
      <c r="G65" s="1"/>
      <c r="H65" s="1"/>
      <c r="I65" s="1"/>
      <c r="J65" s="1"/>
      <c r="K65" s="1"/>
      <c r="L65" s="1"/>
    </row>
    <row r="66" spans="1:12" ht="22.9" customHeight="1">
      <c r="A66" s="1"/>
      <c r="B66" s="1"/>
      <c r="C66" s="1"/>
      <c r="D66" s="1"/>
      <c r="E66" s="1"/>
      <c r="F66" s="1"/>
      <c r="G66" s="1"/>
      <c r="H66" s="1"/>
      <c r="I66" s="1"/>
      <c r="J66" s="1"/>
      <c r="K66" s="1"/>
      <c r="L66" s="1"/>
    </row>
    <row r="67" spans="1:12" ht="22.9" customHeight="1">
      <c r="A67" s="1"/>
      <c r="B67" s="1"/>
      <c r="C67" s="1"/>
      <c r="D67" s="1"/>
      <c r="E67" s="1"/>
      <c r="F67" s="1"/>
      <c r="G67" s="1"/>
      <c r="H67" s="1"/>
      <c r="I67" s="1"/>
      <c r="J67" s="1"/>
      <c r="K67" s="1"/>
      <c r="L67" s="1"/>
    </row>
    <row r="68" spans="1:12" ht="22.9" customHeight="1">
      <c r="A68" s="1"/>
      <c r="B68" s="1"/>
      <c r="C68" s="1"/>
      <c r="D68" s="1"/>
      <c r="E68" s="1"/>
      <c r="F68" s="1"/>
      <c r="G68" s="1"/>
      <c r="H68" s="1"/>
      <c r="I68" s="1"/>
      <c r="J68" s="1"/>
      <c r="K68" s="1"/>
      <c r="L68" s="1"/>
    </row>
    <row r="69" spans="1:12" ht="22.9" customHeight="1">
      <c r="A69" s="1"/>
      <c r="B69" s="1"/>
      <c r="C69" s="1"/>
      <c r="D69" s="1"/>
      <c r="E69" s="1"/>
      <c r="F69" s="1"/>
      <c r="G69" s="1"/>
      <c r="H69" s="1"/>
      <c r="I69" s="1"/>
      <c r="J69" s="1"/>
      <c r="K69" s="1"/>
      <c r="L69" s="1"/>
    </row>
    <row r="70" spans="1:12" ht="22.9" customHeight="1">
      <c r="A70" s="1"/>
      <c r="B70" s="1"/>
      <c r="C70" s="1"/>
      <c r="D70" s="1"/>
      <c r="E70" s="1"/>
      <c r="F70" s="1"/>
      <c r="G70" s="1"/>
      <c r="H70" s="1"/>
      <c r="I70" s="1"/>
      <c r="J70" s="1"/>
      <c r="K70" s="1"/>
      <c r="L70" s="1"/>
    </row>
    <row r="71" spans="1:12" ht="22.9" customHeight="1">
      <c r="A71" s="1"/>
      <c r="B71" s="1"/>
      <c r="C71" s="1"/>
      <c r="D71" s="1"/>
      <c r="E71" s="1"/>
      <c r="F71" s="1"/>
      <c r="G71" s="1"/>
      <c r="H71" s="1"/>
      <c r="I71" s="1"/>
      <c r="J71" s="1"/>
      <c r="K71" s="1"/>
      <c r="L71" s="1"/>
    </row>
    <row r="72" spans="1:12" ht="22.9" customHeight="1">
      <c r="A72" s="1"/>
      <c r="B72" s="1"/>
      <c r="C72" s="1"/>
      <c r="D72" s="1"/>
      <c r="E72" s="1"/>
      <c r="F72" s="1"/>
      <c r="G72" s="1"/>
      <c r="H72" s="1"/>
      <c r="I72" s="1"/>
      <c r="J72" s="1"/>
      <c r="K72" s="1"/>
      <c r="L72" s="1"/>
    </row>
    <row r="73" spans="1:12" ht="22.9" customHeight="1">
      <c r="A73" s="1"/>
      <c r="B73" s="1"/>
      <c r="C73" s="1"/>
      <c r="D73" s="1"/>
      <c r="E73" s="1"/>
      <c r="F73" s="1"/>
      <c r="G73" s="1"/>
      <c r="H73" s="1"/>
      <c r="I73" s="1"/>
      <c r="J73" s="1"/>
      <c r="K73" s="1"/>
      <c r="L73" s="1"/>
    </row>
    <row r="74" spans="1:12" ht="22.9" customHeight="1">
      <c r="A74" s="1"/>
      <c r="B74" s="1"/>
      <c r="C74" s="1"/>
      <c r="D74" s="1"/>
      <c r="E74" s="1"/>
      <c r="F74" s="1"/>
      <c r="G74" s="1"/>
      <c r="H74" s="1"/>
      <c r="I74" s="1"/>
      <c r="J74" s="1"/>
      <c r="K74" s="1"/>
      <c r="L74" s="1"/>
    </row>
    <row r="75" spans="1:12" ht="22.9" customHeight="1">
      <c r="A75" s="1"/>
      <c r="B75" s="1"/>
      <c r="C75" s="1"/>
      <c r="D75" s="1"/>
      <c r="E75" s="1"/>
      <c r="F75" s="1"/>
      <c r="G75" s="1"/>
      <c r="H75" s="1"/>
      <c r="I75" s="1"/>
      <c r="J75" s="1"/>
      <c r="K75" s="1"/>
      <c r="L75" s="1"/>
    </row>
    <row r="76" spans="1:12" ht="22.9" customHeight="1">
      <c r="A76" s="1"/>
      <c r="B76" s="1"/>
      <c r="C76" s="1"/>
      <c r="D76" s="1"/>
      <c r="E76" s="1"/>
      <c r="F76" s="1"/>
      <c r="G76" s="1"/>
      <c r="H76" s="1"/>
      <c r="I76" s="1"/>
      <c r="J76" s="1"/>
      <c r="K76" s="1"/>
      <c r="L76" s="1"/>
    </row>
    <row r="77" spans="1:12" ht="22.9" customHeight="1">
      <c r="A77" s="1"/>
      <c r="B77" s="1"/>
      <c r="C77" s="1"/>
      <c r="D77" s="1"/>
      <c r="E77" s="1"/>
      <c r="F77" s="1"/>
      <c r="G77" s="1"/>
      <c r="H77" s="1"/>
      <c r="I77" s="1"/>
      <c r="J77" s="1"/>
      <c r="K77" s="1"/>
      <c r="L77" s="1"/>
    </row>
    <row r="78" spans="1:12" ht="22.9" customHeight="1">
      <c r="A78" s="1"/>
      <c r="B78" s="1"/>
      <c r="C78" s="1"/>
      <c r="D78" s="1"/>
      <c r="E78" s="1"/>
      <c r="F78" s="1"/>
      <c r="G78" s="1"/>
      <c r="H78" s="1"/>
      <c r="I78" s="1"/>
      <c r="J78" s="1"/>
      <c r="K78" s="1"/>
      <c r="L78" s="1"/>
    </row>
    <row r="79" spans="1:12" ht="22.9" customHeight="1">
      <c r="A79" s="1"/>
      <c r="B79" s="1"/>
      <c r="C79" s="1"/>
      <c r="D79" s="1"/>
      <c r="E79" s="1"/>
      <c r="F79" s="1"/>
      <c r="G79" s="1"/>
      <c r="H79" s="1"/>
      <c r="I79" s="1"/>
      <c r="J79" s="1"/>
      <c r="K79" s="1"/>
      <c r="L79" s="1"/>
    </row>
    <row r="80" spans="1:12" ht="22.9" customHeight="1">
      <c r="A80" s="1"/>
      <c r="B80" s="1"/>
      <c r="C80" s="1"/>
      <c r="D80" s="1"/>
      <c r="E80" s="1"/>
      <c r="F80" s="1"/>
      <c r="G80" s="1"/>
      <c r="H80" s="1"/>
      <c r="I80" s="1"/>
      <c r="J80" s="1"/>
      <c r="K80" s="1"/>
      <c r="L80" s="1"/>
    </row>
  </sheetData>
  <mergeCells count="67">
    <mergeCell ref="A1:L2"/>
    <mergeCell ref="A3:L4"/>
    <mergeCell ref="A5:L6"/>
    <mergeCell ref="A8:D8"/>
    <mergeCell ref="A9:D10"/>
    <mergeCell ref="E8:H8"/>
    <mergeCell ref="E9:H10"/>
    <mergeCell ref="I8:L8"/>
    <mergeCell ref="I9:L10"/>
    <mergeCell ref="A12:L13"/>
    <mergeCell ref="A15:L15"/>
    <mergeCell ref="A16:D17"/>
    <mergeCell ref="E16:L17"/>
    <mergeCell ref="A18:D19"/>
    <mergeCell ref="E18:L19"/>
    <mergeCell ref="A20:D21"/>
    <mergeCell ref="E20:L21"/>
    <mergeCell ref="A22:D23"/>
    <mergeCell ref="E22:L23"/>
    <mergeCell ref="A24:D25"/>
    <mergeCell ref="E24:L25"/>
    <mergeCell ref="A27:D27"/>
    <mergeCell ref="E27:H27"/>
    <mergeCell ref="I27:L27"/>
    <mergeCell ref="A29:L29"/>
    <mergeCell ref="A30:D30"/>
    <mergeCell ref="E30:F30"/>
    <mergeCell ref="G30:H30"/>
    <mergeCell ref="I30:J30"/>
    <mergeCell ref="K30:L30"/>
    <mergeCell ref="A31:D31"/>
    <mergeCell ref="E31:F31"/>
    <mergeCell ref="G31:H31"/>
    <mergeCell ref="I31:J31"/>
    <mergeCell ref="K31:L31"/>
    <mergeCell ref="A32:D32"/>
    <mergeCell ref="E32:F32"/>
    <mergeCell ref="G32:H32"/>
    <mergeCell ref="I32:J32"/>
    <mergeCell ref="K32:L32"/>
    <mergeCell ref="A33:D33"/>
    <mergeCell ref="E33:F33"/>
    <mergeCell ref="G33:H33"/>
    <mergeCell ref="I33:J33"/>
    <mergeCell ref="K33:L33"/>
    <mergeCell ref="A34:D34"/>
    <mergeCell ref="E34:F34"/>
    <mergeCell ref="G34:H34"/>
    <mergeCell ref="I34:J34"/>
    <mergeCell ref="K34:L34"/>
    <mergeCell ref="A35:D35"/>
    <mergeCell ref="E35:F35"/>
    <mergeCell ref="G35:H35"/>
    <mergeCell ref="I35:J35"/>
    <mergeCell ref="K35:L35"/>
    <mergeCell ref="A38:L38"/>
    <mergeCell ref="A39:G39"/>
    <mergeCell ref="H39:L39"/>
    <mergeCell ref="A40:G40"/>
    <mergeCell ref="H40:L40"/>
    <mergeCell ref="A45:L48"/>
    <mergeCell ref="A41:G41"/>
    <mergeCell ref="H41:L41"/>
    <mergeCell ref="A42:G42"/>
    <mergeCell ref="H42:L42"/>
    <mergeCell ref="A43:G43"/>
    <mergeCell ref="H43:L43"/>
  </mergeCells>
  <conditionalFormatting sqref="E31:L35">
    <cfRule type="cellIs" dxfId="10" priority="1"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0"/>
  <sheetViews>
    <sheetView showGridLines="0" workbookViewId="0">
      <pane ySplit="5" topLeftCell="A6" activePane="bottomLeft" state="frozen"/>
      <selection pane="bottomLeft"/>
    </sheetView>
  </sheetViews>
  <sheetFormatPr baseColWidth="10" defaultColWidth="8.75" defaultRowHeight="14.25"/>
  <cols>
    <col min="1" max="12" width="12" customWidth="1"/>
  </cols>
  <sheetData>
    <row r="1" spans="1:12" ht="24" customHeight="1">
      <c r="A1" s="31" t="s">
        <v>31</v>
      </c>
      <c r="B1" s="31"/>
      <c r="C1" s="31"/>
      <c r="D1" s="31"/>
      <c r="E1" s="31"/>
      <c r="F1" s="31"/>
      <c r="G1" s="31"/>
      <c r="H1" s="31"/>
      <c r="I1" s="31"/>
      <c r="J1" s="31"/>
      <c r="K1" s="31"/>
      <c r="L1" s="31"/>
    </row>
    <row r="2" spans="1:12" ht="24" customHeight="1">
      <c r="A2" s="31"/>
      <c r="B2" s="31"/>
      <c r="C2" s="31"/>
      <c r="D2" s="31"/>
      <c r="E2" s="31"/>
      <c r="F2" s="31"/>
      <c r="G2" s="31"/>
      <c r="H2" s="31"/>
      <c r="I2" s="31"/>
      <c r="J2" s="31"/>
      <c r="K2" s="31"/>
      <c r="L2" s="31"/>
    </row>
    <row r="3" spans="1:12" ht="22.15" customHeight="1">
      <c r="A3" s="32" t="s">
        <v>32</v>
      </c>
      <c r="B3" s="32"/>
      <c r="C3" s="32"/>
      <c r="D3" s="32"/>
      <c r="E3" s="32"/>
      <c r="F3" s="32"/>
      <c r="G3" s="32"/>
      <c r="H3" s="32"/>
      <c r="I3" s="32"/>
      <c r="J3" s="32"/>
      <c r="K3" s="32"/>
      <c r="L3" s="32"/>
    </row>
    <row r="4" spans="1:12" ht="22.15" customHeight="1">
      <c r="A4" s="32"/>
      <c r="B4" s="32"/>
      <c r="C4" s="32"/>
      <c r="D4" s="32"/>
      <c r="E4" s="32"/>
      <c r="F4" s="32"/>
      <c r="G4" s="32"/>
      <c r="H4" s="32"/>
      <c r="I4" s="32"/>
      <c r="J4" s="32"/>
      <c r="K4" s="32"/>
      <c r="L4" s="32"/>
    </row>
    <row r="5" spans="1:12" ht="22.9" customHeight="1">
      <c r="A5" s="36" t="str">
        <f>IFERROR(HYPERLINK("#'Start'!A1","← Start"),"← Start")</f>
        <v>← Start</v>
      </c>
      <c r="B5" s="37"/>
      <c r="C5" s="38" t="s">
        <v>33</v>
      </c>
      <c r="D5" s="38"/>
      <c r="E5" s="21" t="str">
        <f>"Case type: "&amp;IF(COUNTIFS(Cases!$A$7:$A$56,$C$5,Cases!$B$7:$B$56,"&lt;&gt;")=1,IFERROR(INDEX(Cases!$B$7:$B$56,MATCH($C$5,Cases!$A$7:$A$56,0)),""),"")</f>
        <v>Case type: Example</v>
      </c>
      <c r="F5" s="21"/>
      <c r="G5" s="21"/>
      <c r="H5" s="21"/>
      <c r="I5" s="21"/>
      <c r="J5" s="21"/>
      <c r="K5" s="21"/>
      <c r="L5" s="21"/>
    </row>
    <row r="6" spans="1:12" ht="22.9" customHeight="1">
      <c r="A6" s="1"/>
      <c r="B6" s="1"/>
      <c r="C6" s="1"/>
      <c r="D6" s="1"/>
      <c r="E6" s="1"/>
      <c r="F6" s="1"/>
      <c r="G6" s="1"/>
      <c r="H6" s="1"/>
      <c r="I6" s="1"/>
      <c r="J6" s="1"/>
      <c r="K6" s="1"/>
      <c r="L6" s="1"/>
    </row>
    <row r="7" spans="1:12" ht="22.9" customHeight="1">
      <c r="A7" s="33" t="str">
        <f>IF(COUNTIFS(Checks!$A$7:$A$56,$C$5,Checks!$J$7:$J$56,"&lt;&gt;")=1,IFERROR(INDEX(Checks!$J$7:$J$56,MATCH($C$5,Checks!$A$7:$A$56,0)),""),"")</f>
        <v>Example only — never in live planning</v>
      </c>
      <c r="B7" s="33"/>
      <c r="C7" s="33"/>
      <c r="D7" s="33"/>
      <c r="E7" s="33"/>
      <c r="F7" s="33"/>
      <c r="G7" s="33"/>
      <c r="H7" s="33"/>
      <c r="I7" s="33"/>
      <c r="J7" s="33"/>
      <c r="K7" s="33"/>
      <c r="L7" s="33"/>
    </row>
    <row r="8" spans="1:12" ht="22.9" customHeight="1">
      <c r="A8" s="33"/>
      <c r="B8" s="33"/>
      <c r="C8" s="33"/>
      <c r="D8" s="33"/>
      <c r="E8" s="33"/>
      <c r="F8" s="33"/>
      <c r="G8" s="33"/>
      <c r="H8" s="33"/>
      <c r="I8" s="33"/>
      <c r="J8" s="33"/>
      <c r="K8" s="33"/>
      <c r="L8" s="33"/>
    </row>
    <row r="9" spans="1:12" ht="22.9" customHeight="1">
      <c r="A9" s="1"/>
      <c r="B9" s="1"/>
      <c r="C9" s="1"/>
      <c r="D9" s="1"/>
      <c r="E9" s="1"/>
      <c r="F9" s="1"/>
      <c r="G9" s="1"/>
      <c r="H9" s="1"/>
      <c r="I9" s="1"/>
      <c r="J9" s="1"/>
      <c r="K9" s="1"/>
      <c r="L9" s="1"/>
    </row>
    <row r="10" spans="1:12" ht="25.15" customHeight="1">
      <c r="A10" s="25" t="s">
        <v>34</v>
      </c>
      <c r="B10" s="25"/>
      <c r="C10" s="25"/>
      <c r="D10" s="25"/>
      <c r="E10" s="25"/>
      <c r="F10" s="25"/>
      <c r="G10" s="25"/>
      <c r="H10" s="25"/>
      <c r="I10" s="25"/>
      <c r="J10" s="25"/>
      <c r="K10" s="25"/>
      <c r="L10" s="25"/>
    </row>
    <row r="11" spans="1:12" ht="22.9" customHeight="1">
      <c r="A11" s="21" t="s">
        <v>35</v>
      </c>
      <c r="B11" s="21"/>
      <c r="C11" s="21"/>
      <c r="D11" s="22" t="str">
        <f>IF(COUNTIFS(Cases!$A$7:$A$56,$C$5,Cases!$C$7:$C$56,"&lt;&gt;")=1,IFERROR(INDEX(Cases!$C$7:$C$56,MATCH($C$5,Cases!$A$7:$A$56,0)),""),"")</f>
        <v>Document classification prompts</v>
      </c>
      <c r="E11" s="22"/>
      <c r="F11" s="22"/>
      <c r="G11" s="22"/>
      <c r="H11" s="22"/>
      <c r="I11" s="22"/>
      <c r="J11" s="22"/>
      <c r="K11" s="22"/>
      <c r="L11" s="22"/>
    </row>
    <row r="12" spans="1:12" ht="22.9" customHeight="1">
      <c r="A12" s="21"/>
      <c r="B12" s="21"/>
      <c r="C12" s="21"/>
      <c r="D12" s="22"/>
      <c r="E12" s="22"/>
      <c r="F12" s="22"/>
      <c r="G12" s="22"/>
      <c r="H12" s="22"/>
      <c r="I12" s="22"/>
      <c r="J12" s="22"/>
      <c r="K12" s="22"/>
      <c r="L12" s="22"/>
    </row>
    <row r="13" spans="1:12" ht="22.9" customHeight="1">
      <c r="A13" s="21" t="s">
        <v>36</v>
      </c>
      <c r="B13" s="21"/>
      <c r="C13" s="21"/>
      <c r="D13" s="22" t="str">
        <f>IF(COUNTIFS(Cases!$A$7:$A$56,$C$5,Cases!$D$7:$D$56,"&lt;&gt;")=1,IFERROR(INDEX(Cases!$D$7:$D$56,MATCH($C$5,Cases!$A$7:$A$56,0)),""),"")</f>
        <v>Illustrative organization; replace with a precise local process.</v>
      </c>
      <c r="E13" s="22"/>
      <c r="F13" s="22"/>
      <c r="G13" s="22"/>
      <c r="H13" s="22"/>
      <c r="I13" s="22"/>
      <c r="J13" s="22"/>
      <c r="K13" s="22"/>
      <c r="L13" s="22"/>
    </row>
    <row r="14" spans="1:12" ht="22.9" customHeight="1">
      <c r="A14" s="21"/>
      <c r="B14" s="21"/>
      <c r="C14" s="21"/>
      <c r="D14" s="22"/>
      <c r="E14" s="22"/>
      <c r="F14" s="22"/>
      <c r="G14" s="22"/>
      <c r="H14" s="22"/>
      <c r="I14" s="22"/>
      <c r="J14" s="22"/>
      <c r="K14" s="22"/>
      <c r="L14" s="22"/>
    </row>
    <row r="15" spans="1:12" ht="22.9" customHeight="1">
      <c r="A15" s="21" t="s">
        <v>37</v>
      </c>
      <c r="B15" s="21"/>
      <c r="C15" s="21"/>
      <c r="D15" s="22" t="str">
        <f>IF(COUNTIFS(Cases!$A$7:$A$56,$C$5,Cases!$F$7:$F$56,"&lt;&gt;")=1,IFERROR(INDEX(Cases!$F$7:$F$56,MATCH($C$5,Cases!$A$7:$A$56,0)),""),"")</f>
        <v>Apply appropriate handling to sensitive information, including data leaving its original context.</v>
      </c>
      <c r="E15" s="22"/>
      <c r="F15" s="22"/>
      <c r="G15" s="22"/>
      <c r="H15" s="22"/>
      <c r="I15" s="22"/>
      <c r="J15" s="22"/>
      <c r="K15" s="22"/>
      <c r="L15" s="22"/>
    </row>
    <row r="16" spans="1:12" ht="22.9" customHeight="1">
      <c r="A16" s="21"/>
      <c r="B16" s="21"/>
      <c r="C16" s="21"/>
      <c r="D16" s="22"/>
      <c r="E16" s="22"/>
      <c r="F16" s="22"/>
      <c r="G16" s="22"/>
      <c r="H16" s="22"/>
      <c r="I16" s="22"/>
      <c r="J16" s="22"/>
      <c r="K16" s="22"/>
      <c r="L16" s="22"/>
    </row>
    <row r="17" spans="1:12" ht="22.9" customHeight="1">
      <c r="A17" s="21" t="s">
        <v>38</v>
      </c>
      <c r="B17" s="21"/>
      <c r="C17" s="21"/>
      <c r="D17" s="22" t="str">
        <f>IF(COUNTIFS(Cases!$A$7:$A$56,$C$5,Cases!$G$7:$G$56,"&lt;&gt;")=1,IFERROR(INDEX(Cases!$G$7:$G$56,MATCH($C$5,Cases!$A$7:$A$56,0)),""),"")</f>
        <v>Replace</v>
      </c>
      <c r="E17" s="22"/>
      <c r="F17" s="22"/>
      <c r="G17" s="22"/>
      <c r="H17" s="22"/>
      <c r="I17" s="22"/>
      <c r="J17" s="22"/>
      <c r="K17" s="22"/>
      <c r="L17" s="22"/>
    </row>
    <row r="18" spans="1:12" ht="22.9" customHeight="1">
      <c r="A18" s="21"/>
      <c r="B18" s="21"/>
      <c r="C18" s="21"/>
      <c r="D18" s="22"/>
      <c r="E18" s="22"/>
      <c r="F18" s="22"/>
      <c r="G18" s="22"/>
      <c r="H18" s="22"/>
      <c r="I18" s="22"/>
      <c r="J18" s="22"/>
      <c r="K18" s="22"/>
      <c r="L18" s="22"/>
    </row>
    <row r="19" spans="1:12" ht="22.9" customHeight="1">
      <c r="A19" s="21" t="s">
        <v>39</v>
      </c>
      <c r="B19" s="21"/>
      <c r="C19" s="21"/>
      <c r="D19" s="22" t="str">
        <f>IF(COUNTIFS(Cases!$A$7:$A$56,$C$5,Cases!$H$7:$H$56,"&lt;&gt;")=1,IFERROR(INDEX(Cases!$H$7:$H$56,MATCH($C$5,Cases!$A$7:$A$56,0)),""),"")</f>
        <v>Full post-change operating profile; unchanged work is included.</v>
      </c>
      <c r="E19" s="22"/>
      <c r="F19" s="22"/>
      <c r="G19" s="22"/>
      <c r="H19" s="22"/>
      <c r="I19" s="22"/>
      <c r="J19" s="22"/>
      <c r="K19" s="22"/>
      <c r="L19" s="22"/>
    </row>
    <row r="20" spans="1:12" ht="22.9" customHeight="1">
      <c r="A20" s="21"/>
      <c r="B20" s="21"/>
      <c r="C20" s="21"/>
      <c r="D20" s="22"/>
      <c r="E20" s="22"/>
      <c r="F20" s="22"/>
      <c r="G20" s="22"/>
      <c r="H20" s="22"/>
      <c r="I20" s="22"/>
      <c r="J20" s="22"/>
      <c r="K20" s="22"/>
      <c r="L20" s="22"/>
    </row>
    <row r="21" spans="1:12" ht="22.9" customHeight="1">
      <c r="A21" s="1"/>
      <c r="B21" s="1"/>
      <c r="C21" s="1"/>
      <c r="D21" s="1"/>
      <c r="E21" s="1"/>
      <c r="F21" s="1"/>
      <c r="G21" s="1"/>
      <c r="H21" s="1"/>
      <c r="I21" s="1"/>
      <c r="J21" s="1"/>
      <c r="K21" s="1"/>
      <c r="L21" s="1"/>
    </row>
    <row r="22" spans="1:12" ht="25.15" customHeight="1">
      <c r="A22" s="25" t="s">
        <v>40</v>
      </c>
      <c r="B22" s="25"/>
      <c r="C22" s="25"/>
      <c r="D22" s="25"/>
      <c r="E22" s="25"/>
      <c r="F22" s="25"/>
      <c r="G22" s="25"/>
      <c r="H22" s="25"/>
      <c r="I22" s="25"/>
      <c r="J22" s="25"/>
      <c r="K22" s="25"/>
      <c r="L22" s="25"/>
    </row>
    <row r="23" spans="1:12" ht="22.9" customHeight="1">
      <c r="A23" s="21" t="s">
        <v>41</v>
      </c>
      <c r="B23" s="21"/>
      <c r="C23" s="21"/>
      <c r="D23" s="21"/>
      <c r="E23" s="21" t="s">
        <v>42</v>
      </c>
      <c r="F23" s="21"/>
      <c r="G23" s="21" t="s">
        <v>43</v>
      </c>
      <c r="H23" s="21"/>
      <c r="I23" s="21" t="s">
        <v>44</v>
      </c>
      <c r="J23" s="21"/>
      <c r="K23" s="21"/>
      <c r="L23" s="21"/>
    </row>
    <row r="24" spans="1:12" ht="22.9" customHeight="1">
      <c r="A24" s="22" t="s">
        <v>45</v>
      </c>
      <c r="B24" s="22"/>
      <c r="C24" s="22"/>
      <c r="D24" s="22"/>
      <c r="E24" s="23">
        <f>IFERROR(INDEX(Checks!$N$7:$N$56,MATCH($C$5,Checks!$A$7:$A$56,0)),"")</f>
        <v>7333.333333333333</v>
      </c>
      <c r="F24" s="23"/>
      <c r="G24" s="23">
        <f>IFERROR(INDEX(Checks!$O$7:$O$56,MATCH($C$5,Checks!$A$7:$A$56,0)),"")</f>
        <v>300</v>
      </c>
      <c r="H24" s="23"/>
      <c r="I24" s="23">
        <f>IFERROR(INDEX(Checks!$P$7:$P$56,MATCH($C$5,Checks!$A$7:$A$56,0)),"")</f>
        <v>7033.333333333333</v>
      </c>
      <c r="J24" s="23"/>
      <c r="K24" s="23"/>
      <c r="L24" s="23"/>
    </row>
    <row r="25" spans="1:12" ht="22.9" customHeight="1">
      <c r="A25" s="22" t="s">
        <v>46</v>
      </c>
      <c r="B25" s="22"/>
      <c r="C25" s="22"/>
      <c r="D25" s="22"/>
      <c r="E25" s="23">
        <f>IFERROR(INDEX(Checks!$Q$7:$Q$56,MATCH($C$5,Checks!$A$7:$A$56,0)),"")</f>
        <v>150</v>
      </c>
      <c r="F25" s="23"/>
      <c r="G25" s="23">
        <f>IFERROR(INDEX(Checks!$R$7:$R$56,MATCH($C$5,Checks!$A$7:$A$56,0)),"")</f>
        <v>80</v>
      </c>
      <c r="H25" s="23"/>
      <c r="I25" s="23">
        <f>IFERROR(INDEX(Checks!$S$7:$S$56,MATCH($C$5,Checks!$A$7:$A$56,0)),"")</f>
        <v>70</v>
      </c>
      <c r="J25" s="23"/>
      <c r="K25" s="23"/>
      <c r="L25" s="23"/>
    </row>
    <row r="26" spans="1:12" ht="22.9" customHeight="1">
      <c r="A26" s="22" t="s">
        <v>47</v>
      </c>
      <c r="B26" s="22"/>
      <c r="C26" s="22"/>
      <c r="D26" s="22"/>
      <c r="E26" s="24">
        <f>IFERROR(INDEX(Checks!$T$7:$T$56,MATCH($C$5,Checks!$A$7:$A$56,0)),"")</f>
        <v>0</v>
      </c>
      <c r="F26" s="24"/>
      <c r="G26" s="24">
        <f>IFERROR(INDEX(Checks!$U$7:$U$56,MATCH($C$5,Checks!$A$7:$A$56,0)),"")</f>
        <v>60000</v>
      </c>
      <c r="H26" s="24"/>
      <c r="I26" s="24">
        <f>IFERROR(INDEX(Checks!$V$7:$V$56,MATCH($C$5,Checks!$A$7:$A$56,0)),"")</f>
        <v>-60000</v>
      </c>
      <c r="J26" s="24"/>
      <c r="K26" s="24"/>
      <c r="L26" s="24"/>
    </row>
    <row r="27" spans="1:12" ht="22.9" customHeight="1">
      <c r="A27" s="22" t="s">
        <v>48</v>
      </c>
      <c r="B27" s="22"/>
      <c r="C27" s="22"/>
      <c r="D27" s="22"/>
      <c r="E27" s="24">
        <f>IFERROR(INDEX(Checks!$W$7:$W$56,MATCH($C$5,Checks!$A$7:$A$56,0)),"")</f>
        <v>451250</v>
      </c>
      <c r="F27" s="24"/>
      <c r="G27" s="24">
        <f>IFERROR(INDEX(Checks!$X$7:$X$56,MATCH($C$5,Checks!$A$7:$A$56,0)),"")</f>
        <v>84000</v>
      </c>
      <c r="H27" s="24"/>
      <c r="I27" s="24">
        <f>IFERROR(INDEX(Checks!$Y$7:$Y$56,MATCH($C$5,Checks!$A$7:$A$56,0)),"")</f>
        <v>367250</v>
      </c>
      <c r="J27" s="24"/>
      <c r="K27" s="24"/>
      <c r="L27" s="24"/>
    </row>
    <row r="28" spans="1:12" ht="22.9" customHeight="1">
      <c r="A28" s="21" t="s">
        <v>49</v>
      </c>
      <c r="B28" s="21"/>
      <c r="C28" s="21"/>
      <c r="D28" s="21"/>
      <c r="E28" s="21"/>
      <c r="F28" s="21"/>
      <c r="G28" s="21"/>
      <c r="H28" s="21"/>
      <c r="I28" s="24">
        <f>IFERROR(INDEX(Checks!$Z$7:$Z$56,MATCH($C$5,Checks!$A$7:$A$56,0)),"")</f>
        <v>40000</v>
      </c>
      <c r="J28" s="24"/>
      <c r="K28" s="24"/>
      <c r="L28" s="24"/>
    </row>
    <row r="29" spans="1:12" ht="22.9" customHeight="1">
      <c r="A29" s="21"/>
      <c r="B29" s="21"/>
      <c r="C29" s="21"/>
      <c r="D29" s="21"/>
      <c r="E29" s="21"/>
      <c r="F29" s="21"/>
      <c r="G29" s="21"/>
      <c r="H29" s="21"/>
      <c r="I29" s="24"/>
      <c r="J29" s="24"/>
      <c r="K29" s="24"/>
      <c r="L29" s="24"/>
    </row>
    <row r="30" spans="1:12" ht="22.9" customHeight="1">
      <c r="A30" s="1"/>
      <c r="B30" s="1"/>
      <c r="C30" s="1"/>
      <c r="D30" s="1"/>
      <c r="E30" s="1"/>
      <c r="F30" s="1"/>
      <c r="G30" s="1"/>
      <c r="H30" s="1"/>
      <c r="I30" s="1"/>
      <c r="J30" s="1"/>
      <c r="K30" s="1"/>
      <c r="L30" s="1"/>
    </row>
    <row r="31" spans="1:12" ht="25.15" customHeight="1">
      <c r="A31" s="25" t="s">
        <v>50</v>
      </c>
      <c r="B31" s="25"/>
      <c r="C31" s="25"/>
      <c r="D31" s="25"/>
      <c r="E31" s="25"/>
      <c r="F31" s="25"/>
      <c r="G31" s="25"/>
      <c r="H31" s="25"/>
      <c r="I31" s="25"/>
      <c r="J31" s="25"/>
      <c r="K31" s="25"/>
      <c r="L31" s="25"/>
    </row>
    <row r="32" spans="1:12" ht="22.9" customHeight="1">
      <c r="A32" s="21" t="s">
        <v>51</v>
      </c>
      <c r="B32" s="21"/>
      <c r="C32" s="21"/>
      <c r="D32" s="21"/>
      <c r="E32" s="21" t="s">
        <v>52</v>
      </c>
      <c r="F32" s="21"/>
      <c r="G32" s="21"/>
      <c r="H32" s="21"/>
      <c r="I32" s="21" t="s">
        <v>53</v>
      </c>
      <c r="J32" s="21"/>
      <c r="K32" s="21"/>
      <c r="L32" s="21"/>
    </row>
    <row r="33" spans="1:12" ht="22.9" customHeight="1">
      <c r="A33" s="22" t="str">
        <f>IF(COUNTIFS('Review &amp; Decision'!$A$7:$A$56,$C$5,'Review &amp; Decision'!$B$7:$B$56,"&lt;&gt;")=1,IFERROR(INDEX('Review &amp; Decision'!$B$7:$B$56,MATCH($C$5,'Review &amp; Decision'!$A$7:$A$56,0)),""),"")</f>
        <v>Hypothesis</v>
      </c>
      <c r="B33" s="22"/>
      <c r="C33" s="22"/>
      <c r="D33" s="22"/>
      <c r="E33" s="22" t="str">
        <f>IF(COUNTIFS('Review &amp; Decision'!$A$7:$A$56,$C$5,'Review &amp; Decision'!$E$7:$E$56,"&lt;&gt;")=1,IFERROR(INDEX('Review &amp; Decision'!$E$7:$E$56,MATCH($C$5,'Review &amp; Decision'!$A$7:$A$56,0)),""),"")</f>
        <v>Open</v>
      </c>
      <c r="F33" s="22"/>
      <c r="G33" s="22"/>
      <c r="H33" s="22"/>
      <c r="I33" s="22" t="str">
        <f>IF(COUNTIFS('Review &amp; Decision'!$A$7:$A$56,$C$5,'Review &amp; Decision'!$H$7:$H$56,"&lt;&gt;")=1,IFERROR(INDEX('Review &amp; Decision'!$H$7:$H$56,MATCH($C$5,'Review &amp; Decision'!$A$7:$A$56,0)),""),"")</f>
        <v>Modeled</v>
      </c>
      <c r="J33" s="22"/>
      <c r="K33" s="22"/>
      <c r="L33" s="22"/>
    </row>
    <row r="34" spans="1:12" ht="22.9" customHeight="1">
      <c r="A34" s="1"/>
      <c r="B34" s="1"/>
      <c r="C34" s="1"/>
      <c r="D34" s="1"/>
      <c r="E34" s="1"/>
      <c r="F34" s="1"/>
      <c r="G34" s="1"/>
      <c r="H34" s="1"/>
      <c r="I34" s="1"/>
      <c r="J34" s="1"/>
      <c r="K34" s="1"/>
      <c r="L34" s="1"/>
    </row>
    <row r="35" spans="1:12" ht="22.9" customHeight="1">
      <c r="A35" s="21" t="s">
        <v>54</v>
      </c>
      <c r="B35" s="21"/>
      <c r="C35" s="21"/>
      <c r="D35" s="22" t="str">
        <f>IF(COUNTIFS('Review &amp; Decision'!$A$7:$A$56,$C$5,'Review &amp; Decision'!$D$7:$D$56,"&lt;&gt;")=1,IFERROR(INDEX('Review &amp; Decision'!$D$7:$D$56,MATCH($C$5,'Review &amp; Decision'!$A$7:$A$56,0)),""),"")</f>
        <v>Illustrative scenario; no local validation.</v>
      </c>
      <c r="E35" s="22"/>
      <c r="F35" s="22"/>
      <c r="G35" s="22"/>
      <c r="H35" s="22"/>
      <c r="I35" s="22"/>
      <c r="J35" s="22"/>
      <c r="K35" s="22"/>
      <c r="L35" s="22"/>
    </row>
    <row r="36" spans="1:12" ht="22.9" customHeight="1">
      <c r="A36" s="21"/>
      <c r="B36" s="21"/>
      <c r="C36" s="21"/>
      <c r="D36" s="22"/>
      <c r="E36" s="22"/>
      <c r="F36" s="22"/>
      <c r="G36" s="22"/>
      <c r="H36" s="22"/>
      <c r="I36" s="22"/>
      <c r="J36" s="22"/>
      <c r="K36" s="22"/>
      <c r="L36" s="22"/>
    </row>
    <row r="37" spans="1:12" ht="22.9" customHeight="1">
      <c r="A37" s="1"/>
      <c r="B37" s="1"/>
      <c r="C37" s="1"/>
      <c r="D37" s="1"/>
      <c r="E37" s="1"/>
      <c r="F37" s="1"/>
      <c r="G37" s="1"/>
      <c r="H37" s="1"/>
      <c r="I37" s="1"/>
      <c r="J37" s="1"/>
      <c r="K37" s="1"/>
      <c r="L37" s="1"/>
    </row>
    <row r="38" spans="1:12" ht="22.9" customHeight="1">
      <c r="A38" s="21" t="s">
        <v>55</v>
      </c>
      <c r="B38" s="21"/>
      <c r="C38" s="21"/>
      <c r="D38" s="22" t="str">
        <f>IF(COUNTIFS('Challenge Review'!$A$7:$A$56,$C$5,'Challenge Review'!$K$7:$K$56,"&lt;&gt;")=1,IFERROR(INDEX('Challenge Review'!$K$7:$K$56,MATCH($C$5,'Challenge Review'!$A$7:$A$56,0)),""),"")</f>
        <v>Unchecked</v>
      </c>
      <c r="E38" s="22"/>
      <c r="F38" s="22"/>
      <c r="G38" s="22"/>
      <c r="H38" s="22"/>
      <c r="I38" s="22"/>
      <c r="J38" s="22"/>
      <c r="K38" s="22"/>
      <c r="L38" s="22"/>
    </row>
    <row r="39" spans="1:12" ht="22.9" customHeight="1">
      <c r="A39" s="21"/>
      <c r="B39" s="21"/>
      <c r="C39" s="21"/>
      <c r="D39" s="22"/>
      <c r="E39" s="22"/>
      <c r="F39" s="22"/>
      <c r="G39" s="22"/>
      <c r="H39" s="22"/>
      <c r="I39" s="22"/>
      <c r="J39" s="22"/>
      <c r="K39" s="22"/>
      <c r="L39" s="22"/>
    </row>
    <row r="40" spans="1:12" ht="22.9" customHeight="1">
      <c r="A40" s="1"/>
      <c r="B40" s="1"/>
      <c r="C40" s="1"/>
      <c r="D40" s="1"/>
      <c r="E40" s="1"/>
      <c r="F40" s="1"/>
      <c r="G40" s="1"/>
      <c r="H40" s="1"/>
      <c r="I40" s="1"/>
      <c r="J40" s="1"/>
      <c r="K40" s="1"/>
      <c r="L40" s="1"/>
    </row>
    <row r="41" spans="1:12" ht="22.9" customHeight="1">
      <c r="A41" s="21" t="s">
        <v>56</v>
      </c>
      <c r="B41" s="21"/>
      <c r="C41" s="21"/>
      <c r="D41" s="22" t="str">
        <f>IF(COUNTIFS(Actuals!$A$7:$A$56,$C$5,Actuals!$M$7:$M$56,"&lt;&gt;")=1,IFERROR(INDEX(Actuals!$M$7:$M$56,MATCH($C$5,Actuals!$A$7:$A$56,0)),""),"")</f>
        <v>Measurements incomplete</v>
      </c>
      <c r="E41" s="22"/>
      <c r="F41" s="22"/>
      <c r="G41" s="22"/>
      <c r="H41" s="22"/>
      <c r="I41" s="22"/>
      <c r="J41" s="22"/>
      <c r="K41" s="22"/>
      <c r="L41" s="22"/>
    </row>
    <row r="42" spans="1:12" ht="22.9" customHeight="1">
      <c r="A42" s="21"/>
      <c r="B42" s="21"/>
      <c r="C42" s="21"/>
      <c r="D42" s="22"/>
      <c r="E42" s="22"/>
      <c r="F42" s="22"/>
      <c r="G42" s="22"/>
      <c r="H42" s="22"/>
      <c r="I42" s="22"/>
      <c r="J42" s="22"/>
      <c r="K42" s="22"/>
      <c r="L42" s="22"/>
    </row>
    <row r="43" spans="1:12" ht="22.9" customHeight="1">
      <c r="A43" s="1"/>
      <c r="B43" s="1"/>
      <c r="C43" s="1"/>
      <c r="D43" s="1"/>
      <c r="E43" s="1"/>
      <c r="F43" s="1"/>
      <c r="G43" s="1"/>
      <c r="H43" s="1"/>
      <c r="I43" s="1"/>
      <c r="J43" s="1"/>
      <c r="K43" s="1"/>
      <c r="L43" s="1"/>
    </row>
    <row r="44" spans="1:12" ht="22.9" customHeight="1">
      <c r="A44" s="21" t="s">
        <v>57</v>
      </c>
      <c r="B44" s="21"/>
      <c r="C44" s="21"/>
      <c r="D44" s="22" t="str">
        <f>IF(IFERROR(INDEX(Checks!$I$7:$I$56,MATCH($C$5,Checks!$A$7:$A$56,0)),"")=1,"Measurements documented. See Actuals for signed changes, period and verification.","No complete, period-backed measurement is available.")</f>
        <v>No complete, period-backed measurement is available.</v>
      </c>
      <c r="E44" s="22"/>
      <c r="F44" s="22"/>
      <c r="G44" s="22"/>
      <c r="H44" s="22"/>
      <c r="I44" s="22"/>
      <c r="J44" s="22"/>
      <c r="K44" s="22"/>
      <c r="L44" s="22"/>
    </row>
    <row r="45" spans="1:12" ht="22.9" customHeight="1">
      <c r="A45" s="21"/>
      <c r="B45" s="21"/>
      <c r="C45" s="21"/>
      <c r="D45" s="22"/>
      <c r="E45" s="22"/>
      <c r="F45" s="22"/>
      <c r="G45" s="22"/>
      <c r="H45" s="22"/>
      <c r="I45" s="22"/>
      <c r="J45" s="22"/>
      <c r="K45" s="22"/>
      <c r="L45" s="22"/>
    </row>
    <row r="46" spans="1:12" ht="22.9" customHeight="1">
      <c r="A46" s="1"/>
      <c r="B46" s="1"/>
      <c r="C46" s="1"/>
      <c r="D46" s="1"/>
      <c r="E46" s="1"/>
      <c r="F46" s="1"/>
      <c r="G46" s="1"/>
      <c r="H46" s="1"/>
      <c r="I46" s="1"/>
      <c r="J46" s="1"/>
      <c r="K46" s="1"/>
      <c r="L46" s="1"/>
    </row>
    <row r="47" spans="1:12" ht="25.15" customHeight="1">
      <c r="A47" s="25" t="s">
        <v>58</v>
      </c>
      <c r="B47" s="25"/>
      <c r="C47" s="25"/>
      <c r="D47" s="25"/>
      <c r="E47" s="25"/>
      <c r="F47" s="25"/>
      <c r="G47" s="25"/>
      <c r="H47" s="25"/>
      <c r="I47" s="25"/>
      <c r="J47" s="25"/>
      <c r="K47" s="25"/>
      <c r="L47" s="25"/>
    </row>
    <row r="48" spans="1:12" ht="22.9" customHeight="1">
      <c r="A48" s="29" t="str">
        <f>IFERROR(HYPERLINK("#'Cases'!C"&amp;(MATCH($C$5,Cases!$A$7:$A$56,0)+6),"1  Scope and proposal"),"1  Scope and proposal")</f>
        <v>1  Scope and proposal</v>
      </c>
      <c r="B48" s="29"/>
      <c r="C48" s="29"/>
      <c r="D48" s="29"/>
      <c r="E48" s="29" t="str">
        <f>IFERROR(HYPERLINK("#'Current'!B"&amp;(MATCH($C$5,Current!$A$7:$A$56,0)+6),"2a  Current profile"),"2a  Current profile")</f>
        <v>2a  Current profile</v>
      </c>
      <c r="F48" s="29"/>
      <c r="G48" s="29"/>
      <c r="H48" s="29"/>
      <c r="I48" s="29" t="str">
        <f>IFERROR(HYPERLINK("#'Proposed'!B"&amp;(MATCH($C$5,Proposed!$A$7:$A$56,0)+6),"2b  Proposed profile"),"2b  Proposed profile")</f>
        <v>2b  Proposed profile</v>
      </c>
      <c r="J48" s="29"/>
      <c r="K48" s="29"/>
      <c r="L48" s="29"/>
    </row>
    <row r="49" spans="1:12" ht="22.9" customHeight="1">
      <c r="A49" s="29"/>
      <c r="B49" s="29"/>
      <c r="C49" s="29"/>
      <c r="D49" s="29"/>
      <c r="E49" s="29"/>
      <c r="F49" s="29"/>
      <c r="G49" s="29"/>
      <c r="H49" s="29"/>
      <c r="I49" s="29"/>
      <c r="J49" s="29"/>
      <c r="K49" s="29"/>
      <c r="L49" s="29"/>
    </row>
    <row r="50" spans="1:12" ht="22.9" customHeight="1">
      <c r="A50" s="1"/>
      <c r="B50" s="1"/>
      <c r="C50" s="1"/>
      <c r="D50" s="1"/>
      <c r="E50" s="1"/>
      <c r="F50" s="1"/>
      <c r="G50" s="1"/>
      <c r="H50" s="1"/>
      <c r="I50" s="1"/>
      <c r="J50" s="1"/>
      <c r="K50" s="1"/>
      <c r="L50" s="1"/>
    </row>
    <row r="51" spans="1:12" ht="22.9" customHeight="1">
      <c r="A51" s="29" t="str">
        <f>IFERROR(HYPERLINK("#'Review &amp; Decision'!B"&amp;(MATCH($C$5,'Review &amp; Decision'!$A$7:$A$56,0)+6),"3  Evidence / decision"),"3  Evidence / decision")</f>
        <v>3  Evidence / decision</v>
      </c>
      <c r="B51" s="29"/>
      <c r="C51" s="29"/>
      <c r="D51" s="29"/>
      <c r="E51" s="29" t="str">
        <f>IFERROR(HYPERLINK("#'Challenge Review'!B"&amp;(MATCH($C$5,'Challenge Review'!$A$7:$A$56,0)+6),"3b  Challenge review"),"3b  Challenge review")</f>
        <v>3b  Challenge review</v>
      </c>
      <c r="F51" s="29"/>
      <c r="G51" s="29"/>
      <c r="H51" s="29"/>
      <c r="I51" s="29" t="str">
        <f>IFERROR(HYPERLINK("#'Actuals'!B"&amp;(MATCH($C$5,Actuals!$A$7:$A$56,0)+6),"4  Actual measurements"),"4  Actual measurements")</f>
        <v>4  Actual measurements</v>
      </c>
      <c r="J51" s="29"/>
      <c r="K51" s="29"/>
      <c r="L51" s="29"/>
    </row>
    <row r="52" spans="1:12" ht="22.9" customHeight="1">
      <c r="A52" s="29"/>
      <c r="B52" s="29"/>
      <c r="C52" s="29"/>
      <c r="D52" s="29"/>
      <c r="E52" s="29"/>
      <c r="F52" s="29"/>
      <c r="G52" s="29"/>
      <c r="H52" s="29"/>
      <c r="I52" s="29"/>
      <c r="J52" s="29"/>
      <c r="K52" s="29"/>
      <c r="L52" s="29"/>
    </row>
    <row r="53" spans="1:12" ht="22.9" customHeight="1">
      <c r="A53" s="1"/>
      <c r="B53" s="1"/>
      <c r="C53" s="1"/>
      <c r="D53" s="1"/>
      <c r="E53" s="1"/>
      <c r="F53" s="1"/>
      <c r="G53" s="1"/>
      <c r="H53" s="1"/>
      <c r="I53" s="1"/>
      <c r="J53" s="1"/>
      <c r="K53" s="1"/>
      <c r="L53" s="1"/>
    </row>
    <row r="54" spans="1:12" ht="22.9" customHeight="1">
      <c r="A54" s="21" t="s">
        <v>59</v>
      </c>
      <c r="B54" s="21"/>
      <c r="C54" s="21"/>
      <c r="D54" s="21"/>
      <c r="E54" s="21"/>
      <c r="F54" s="21"/>
      <c r="G54" s="21"/>
      <c r="H54" s="21"/>
      <c r="I54" s="21"/>
      <c r="J54" s="21"/>
      <c r="K54" s="21"/>
      <c r="L54" s="21"/>
    </row>
    <row r="55" spans="1:12" ht="22.9" customHeight="1">
      <c r="A55" s="21"/>
      <c r="B55" s="21"/>
      <c r="C55" s="21"/>
      <c r="D55" s="21"/>
      <c r="E55" s="21"/>
      <c r="F55" s="21"/>
      <c r="G55" s="21"/>
      <c r="H55" s="21"/>
      <c r="I55" s="21"/>
      <c r="J55" s="21"/>
      <c r="K55" s="21"/>
      <c r="L55" s="21"/>
    </row>
    <row r="56" spans="1:12" ht="22.9" customHeight="1">
      <c r="A56" s="21"/>
      <c r="B56" s="21"/>
      <c r="C56" s="21"/>
      <c r="D56" s="21"/>
      <c r="E56" s="21"/>
      <c r="F56" s="21"/>
      <c r="G56" s="21"/>
      <c r="H56" s="21"/>
      <c r="I56" s="21"/>
      <c r="J56" s="21"/>
      <c r="K56" s="21"/>
      <c r="L56" s="21"/>
    </row>
    <row r="57" spans="1:12" ht="22.9" customHeight="1">
      <c r="A57" s="1"/>
      <c r="B57" s="1"/>
      <c r="C57" s="1"/>
      <c r="D57" s="1"/>
      <c r="E57" s="1"/>
      <c r="F57" s="1"/>
      <c r="G57" s="1"/>
      <c r="H57" s="1"/>
      <c r="I57" s="1"/>
      <c r="J57" s="1"/>
      <c r="K57" s="1"/>
      <c r="L57" s="1"/>
    </row>
    <row r="58" spans="1:12" ht="22.9" customHeight="1">
      <c r="A58" s="1"/>
      <c r="B58" s="1"/>
      <c r="C58" s="1"/>
      <c r="D58" s="1"/>
      <c r="E58" s="1"/>
      <c r="F58" s="1"/>
      <c r="G58" s="1"/>
      <c r="H58" s="1"/>
      <c r="I58" s="1"/>
      <c r="J58" s="1"/>
      <c r="K58" s="1"/>
      <c r="L58" s="1"/>
    </row>
    <row r="59" spans="1:12" ht="22.9" customHeight="1">
      <c r="A59" s="1"/>
      <c r="B59" s="1"/>
      <c r="C59" s="1"/>
      <c r="D59" s="1"/>
      <c r="E59" s="1"/>
      <c r="F59" s="1"/>
      <c r="G59" s="1"/>
      <c r="H59" s="1"/>
      <c r="I59" s="1"/>
      <c r="J59" s="1"/>
      <c r="K59" s="1"/>
      <c r="L59" s="1"/>
    </row>
    <row r="60" spans="1:12" ht="22.9" customHeight="1">
      <c r="A60" s="1"/>
      <c r="B60" s="1"/>
      <c r="C60" s="1"/>
      <c r="D60" s="1"/>
      <c r="E60" s="1"/>
      <c r="F60" s="1"/>
      <c r="G60" s="1"/>
      <c r="H60" s="1"/>
      <c r="I60" s="1"/>
      <c r="J60" s="1"/>
      <c r="K60" s="1"/>
      <c r="L60" s="1"/>
    </row>
    <row r="61" spans="1:12" ht="22.9" customHeight="1">
      <c r="A61" s="1"/>
      <c r="B61" s="1"/>
      <c r="C61" s="1"/>
      <c r="D61" s="1"/>
      <c r="E61" s="1"/>
      <c r="F61" s="1"/>
      <c r="G61" s="1"/>
      <c r="H61" s="1"/>
      <c r="I61" s="1"/>
      <c r="J61" s="1"/>
      <c r="K61" s="1"/>
      <c r="L61" s="1"/>
    </row>
    <row r="62" spans="1:12" ht="22.9" customHeight="1">
      <c r="A62" s="1"/>
      <c r="B62" s="1"/>
      <c r="C62" s="1"/>
      <c r="D62" s="1"/>
      <c r="E62" s="1"/>
      <c r="F62" s="1"/>
      <c r="G62" s="1"/>
      <c r="H62" s="1"/>
      <c r="I62" s="1"/>
      <c r="J62" s="1"/>
      <c r="K62" s="1"/>
      <c r="L62" s="1"/>
    </row>
    <row r="63" spans="1:12" ht="22.9" customHeight="1">
      <c r="A63" s="1"/>
      <c r="B63" s="1"/>
      <c r="C63" s="1"/>
      <c r="D63" s="1"/>
      <c r="E63" s="1"/>
      <c r="F63" s="1"/>
      <c r="G63" s="1"/>
      <c r="H63" s="1"/>
      <c r="I63" s="1"/>
      <c r="J63" s="1"/>
      <c r="K63" s="1"/>
      <c r="L63" s="1"/>
    </row>
    <row r="64" spans="1:12" ht="22.9" customHeight="1">
      <c r="A64" s="1"/>
      <c r="B64" s="1"/>
      <c r="C64" s="1"/>
      <c r="D64" s="1"/>
      <c r="E64" s="1"/>
      <c r="F64" s="1"/>
      <c r="G64" s="1"/>
      <c r="H64" s="1"/>
      <c r="I64" s="1"/>
      <c r="J64" s="1"/>
      <c r="K64" s="1"/>
      <c r="L64" s="1"/>
    </row>
    <row r="65" spans="1:12" ht="22.9" customHeight="1">
      <c r="A65" s="1"/>
      <c r="B65" s="1"/>
      <c r="C65" s="1"/>
      <c r="D65" s="1"/>
      <c r="E65" s="1"/>
      <c r="F65" s="1"/>
      <c r="G65" s="1"/>
      <c r="H65" s="1"/>
      <c r="I65" s="1"/>
      <c r="J65" s="1"/>
      <c r="K65" s="1"/>
      <c r="L65" s="1"/>
    </row>
    <row r="66" spans="1:12" ht="22.9" customHeight="1">
      <c r="A66" s="1"/>
      <c r="B66" s="1"/>
      <c r="C66" s="1"/>
      <c r="D66" s="1"/>
      <c r="E66" s="1"/>
      <c r="F66" s="1"/>
      <c r="G66" s="1"/>
      <c r="H66" s="1"/>
      <c r="I66" s="1"/>
      <c r="J66" s="1"/>
      <c r="K66" s="1"/>
      <c r="L66" s="1"/>
    </row>
    <row r="67" spans="1:12" ht="22.9" customHeight="1">
      <c r="A67" s="1"/>
      <c r="B67" s="1"/>
      <c r="C67" s="1"/>
      <c r="D67" s="1"/>
      <c r="E67" s="1"/>
      <c r="F67" s="1"/>
      <c r="G67" s="1"/>
      <c r="H67" s="1"/>
      <c r="I67" s="1"/>
      <c r="J67" s="1"/>
      <c r="K67" s="1"/>
      <c r="L67" s="1"/>
    </row>
    <row r="68" spans="1:12" ht="22.9" customHeight="1">
      <c r="A68" s="1"/>
      <c r="B68" s="1"/>
      <c r="C68" s="1"/>
      <c r="D68" s="1"/>
      <c r="E68" s="1"/>
      <c r="F68" s="1"/>
      <c r="G68" s="1"/>
      <c r="H68" s="1"/>
      <c r="I68" s="1"/>
      <c r="J68" s="1"/>
      <c r="K68" s="1"/>
      <c r="L68" s="1"/>
    </row>
    <row r="69" spans="1:12" ht="22.9" customHeight="1">
      <c r="A69" s="1"/>
      <c r="B69" s="1"/>
      <c r="C69" s="1"/>
      <c r="D69" s="1"/>
      <c r="E69" s="1"/>
      <c r="F69" s="1"/>
      <c r="G69" s="1"/>
      <c r="H69" s="1"/>
      <c r="I69" s="1"/>
      <c r="J69" s="1"/>
      <c r="K69" s="1"/>
      <c r="L69" s="1"/>
    </row>
    <row r="70" spans="1:12" ht="22.9" customHeight="1">
      <c r="A70" s="1"/>
      <c r="B70" s="1"/>
      <c r="C70" s="1"/>
      <c r="D70" s="1"/>
      <c r="E70" s="1"/>
      <c r="F70" s="1"/>
      <c r="G70" s="1"/>
      <c r="H70" s="1"/>
      <c r="I70" s="1"/>
      <c r="J70" s="1"/>
      <c r="K70" s="1"/>
      <c r="L70" s="1"/>
    </row>
    <row r="71" spans="1:12" ht="22.9" customHeight="1">
      <c r="A71" s="1"/>
      <c r="B71" s="1"/>
      <c r="C71" s="1"/>
      <c r="D71" s="1"/>
      <c r="E71" s="1"/>
      <c r="F71" s="1"/>
      <c r="G71" s="1"/>
      <c r="H71" s="1"/>
      <c r="I71" s="1"/>
      <c r="J71" s="1"/>
      <c r="K71" s="1"/>
      <c r="L71" s="1"/>
    </row>
    <row r="72" spans="1:12" ht="22.9" customHeight="1">
      <c r="A72" s="1"/>
      <c r="B72" s="1"/>
      <c r="C72" s="1"/>
      <c r="D72" s="1"/>
      <c r="E72" s="1"/>
      <c r="F72" s="1"/>
      <c r="G72" s="1"/>
      <c r="H72" s="1"/>
      <c r="I72" s="1"/>
      <c r="J72" s="1"/>
      <c r="K72" s="1"/>
      <c r="L72" s="1"/>
    </row>
    <row r="73" spans="1:12" ht="22.9" customHeight="1">
      <c r="A73" s="1"/>
      <c r="B73" s="1"/>
      <c r="C73" s="1"/>
      <c r="D73" s="1"/>
      <c r="E73" s="1"/>
      <c r="F73" s="1"/>
      <c r="G73" s="1"/>
      <c r="H73" s="1"/>
      <c r="I73" s="1"/>
      <c r="J73" s="1"/>
      <c r="K73" s="1"/>
      <c r="L73" s="1"/>
    </row>
    <row r="74" spans="1:12" ht="22.9" customHeight="1">
      <c r="A74" s="1"/>
      <c r="B74" s="1"/>
      <c r="C74" s="1"/>
      <c r="D74" s="1"/>
      <c r="E74" s="1"/>
      <c r="F74" s="1"/>
      <c r="G74" s="1"/>
      <c r="H74" s="1"/>
      <c r="I74" s="1"/>
      <c r="J74" s="1"/>
      <c r="K74" s="1"/>
      <c r="L74" s="1"/>
    </row>
    <row r="75" spans="1:12" ht="22.9" customHeight="1">
      <c r="A75" s="1"/>
      <c r="B75" s="1"/>
      <c r="C75" s="1"/>
      <c r="D75" s="1"/>
      <c r="E75" s="1"/>
      <c r="F75" s="1"/>
      <c r="G75" s="1"/>
      <c r="H75" s="1"/>
      <c r="I75" s="1"/>
      <c r="J75" s="1"/>
      <c r="K75" s="1"/>
      <c r="L75" s="1"/>
    </row>
    <row r="76" spans="1:12" ht="22.9" customHeight="1">
      <c r="A76" s="1"/>
      <c r="B76" s="1"/>
      <c r="C76" s="1"/>
      <c r="D76" s="1"/>
      <c r="E76" s="1"/>
      <c r="F76" s="1"/>
      <c r="G76" s="1"/>
      <c r="H76" s="1"/>
      <c r="I76" s="1"/>
      <c r="J76" s="1"/>
      <c r="K76" s="1"/>
      <c r="L76" s="1"/>
    </row>
    <row r="77" spans="1:12" ht="22.9" customHeight="1">
      <c r="A77" s="1"/>
      <c r="B77" s="1"/>
      <c r="C77" s="1"/>
      <c r="D77" s="1"/>
      <c r="E77" s="1"/>
      <c r="F77" s="1"/>
      <c r="G77" s="1"/>
      <c r="H77" s="1"/>
      <c r="I77" s="1"/>
      <c r="J77" s="1"/>
      <c r="K77" s="1"/>
      <c r="L77" s="1"/>
    </row>
    <row r="78" spans="1:12" ht="22.9" customHeight="1">
      <c r="A78" s="1"/>
      <c r="B78" s="1"/>
      <c r="C78" s="1"/>
      <c r="D78" s="1"/>
      <c r="E78" s="1"/>
      <c r="F78" s="1"/>
      <c r="G78" s="1"/>
      <c r="H78" s="1"/>
      <c r="I78" s="1"/>
      <c r="J78" s="1"/>
      <c r="K78" s="1"/>
      <c r="L78" s="1"/>
    </row>
    <row r="79" spans="1:12" ht="22.9" customHeight="1">
      <c r="A79" s="1"/>
      <c r="B79" s="1"/>
      <c r="C79" s="1"/>
      <c r="D79" s="1"/>
      <c r="E79" s="1"/>
      <c r="F79" s="1"/>
      <c r="G79" s="1"/>
      <c r="H79" s="1"/>
      <c r="I79" s="1"/>
      <c r="J79" s="1"/>
      <c r="K79" s="1"/>
      <c r="L79" s="1"/>
    </row>
    <row r="80" spans="1:12" ht="22.9" customHeight="1">
      <c r="A80" s="1"/>
      <c r="B80" s="1"/>
      <c r="C80" s="1"/>
      <c r="D80" s="1"/>
      <c r="E80" s="1"/>
      <c r="F80" s="1"/>
      <c r="G80" s="1"/>
      <c r="H80" s="1"/>
      <c r="I80" s="1"/>
      <c r="J80" s="1"/>
      <c r="K80" s="1"/>
      <c r="L80" s="1"/>
    </row>
  </sheetData>
  <mergeCells count="63">
    <mergeCell ref="A1:L2"/>
    <mergeCell ref="A3:L4"/>
    <mergeCell ref="C5:D5"/>
    <mergeCell ref="E5:L5"/>
    <mergeCell ref="A7:L8"/>
    <mergeCell ref="A10:L10"/>
    <mergeCell ref="A11:C12"/>
    <mergeCell ref="D11:L12"/>
    <mergeCell ref="A13:C14"/>
    <mergeCell ref="D13:L14"/>
    <mergeCell ref="A15:C16"/>
    <mergeCell ref="D15:L16"/>
    <mergeCell ref="A17:C18"/>
    <mergeCell ref="D17:L18"/>
    <mergeCell ref="A19:C20"/>
    <mergeCell ref="D19:L20"/>
    <mergeCell ref="A22:L22"/>
    <mergeCell ref="A23:D23"/>
    <mergeCell ref="E23:F23"/>
    <mergeCell ref="G23:H23"/>
    <mergeCell ref="I23:L23"/>
    <mergeCell ref="A24:D24"/>
    <mergeCell ref="E24:F24"/>
    <mergeCell ref="G24:H24"/>
    <mergeCell ref="I24:L24"/>
    <mergeCell ref="A25:D25"/>
    <mergeCell ref="E25:F25"/>
    <mergeCell ref="G25:H25"/>
    <mergeCell ref="I25:L25"/>
    <mergeCell ref="A26:D26"/>
    <mergeCell ref="E26:F26"/>
    <mergeCell ref="G26:H26"/>
    <mergeCell ref="I26:L26"/>
    <mergeCell ref="A27:D27"/>
    <mergeCell ref="E27:F27"/>
    <mergeCell ref="G27:H27"/>
    <mergeCell ref="I27:L27"/>
    <mergeCell ref="E33:H33"/>
    <mergeCell ref="I33:L33"/>
    <mergeCell ref="A35:C36"/>
    <mergeCell ref="D35:L36"/>
    <mergeCell ref="A28:H29"/>
    <mergeCell ref="I28:L29"/>
    <mergeCell ref="A31:L31"/>
    <mergeCell ref="A32:D32"/>
    <mergeCell ref="E32:H32"/>
    <mergeCell ref="I32:L32"/>
    <mergeCell ref="A54:L56"/>
    <mergeCell ref="A5:B5"/>
    <mergeCell ref="A47:L47"/>
    <mergeCell ref="A48:D49"/>
    <mergeCell ref="E48:H49"/>
    <mergeCell ref="I48:L49"/>
    <mergeCell ref="A51:D52"/>
    <mergeCell ref="E51:H52"/>
    <mergeCell ref="I51:L52"/>
    <mergeCell ref="A38:C39"/>
    <mergeCell ref="D38:L39"/>
    <mergeCell ref="A41:C42"/>
    <mergeCell ref="D41:L42"/>
    <mergeCell ref="A44:C45"/>
    <mergeCell ref="D44:L45"/>
    <mergeCell ref="A33:D33"/>
  </mergeCells>
  <conditionalFormatting sqref="I24:L28">
    <cfRule type="cellIs" dxfId="9" priority="1" operator="lessThan">
      <formula>0</formula>
    </cfRule>
  </conditionalFormatting>
  <dataValidations count="1">
    <dataValidation type="list" showInputMessage="1" showErrorMessage="1" errorTitle="Unknown case" error="Choose one of the prepared case IDs." promptTitle="Choose a case" prompt="C001–C011 are examples. C012–C050 are prepared for your own cases." sqref="C5" xr:uid="{00000000-0002-0000-0100-000000000000}">
      <formula1>"C001,C002,C003,C004,C005,C006,C007,C008,C009,C010,C011,C012,C013,C014,C015,C016,C017,C018,C019,C020,C021,C022,C023,C024,C025,C026,C027,C028,C029,C030,C031,C032,C033,C034,C035,C036,C037,C038,C039,C040,C041,C042,C043,C044,C045,C046,C047,C048,C049,C050"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2" width="12" customWidth="1"/>
    <col min="3" max="3" width="30" customWidth="1"/>
    <col min="4" max="4" width="35" customWidth="1"/>
    <col min="5" max="5" width="19" customWidth="1"/>
    <col min="6" max="6" width="38" customWidth="1"/>
    <col min="7" max="7" width="15" customWidth="1"/>
    <col min="8" max="9" width="38" customWidth="1"/>
  </cols>
  <sheetData>
    <row r="1" spans="1:9" ht="24" customHeight="1">
      <c r="A1" s="31" t="s">
        <v>60</v>
      </c>
      <c r="B1" s="31"/>
      <c r="C1" s="31"/>
      <c r="D1" s="31"/>
      <c r="E1" s="31"/>
      <c r="F1" s="31"/>
      <c r="G1" s="31"/>
      <c r="H1" s="31"/>
      <c r="I1" s="31"/>
    </row>
    <row r="2" spans="1:9" ht="24" customHeight="1">
      <c r="A2" s="31"/>
      <c r="B2" s="31"/>
      <c r="C2" s="31"/>
      <c r="D2" s="31"/>
      <c r="E2" s="31"/>
      <c r="F2" s="31"/>
      <c r="G2" s="31"/>
      <c r="H2" s="31"/>
      <c r="I2" s="31"/>
    </row>
    <row r="3" spans="1:9" ht="22.15" customHeight="1">
      <c r="A3" s="32" t="s">
        <v>61</v>
      </c>
      <c r="B3" s="32"/>
      <c r="C3" s="32"/>
      <c r="D3" s="32"/>
      <c r="E3" s="32"/>
      <c r="F3" s="32"/>
      <c r="G3" s="32"/>
      <c r="H3" s="32"/>
      <c r="I3" s="32"/>
    </row>
    <row r="4" spans="1:9" ht="22.15" customHeight="1">
      <c r="A4" s="32"/>
      <c r="B4" s="32"/>
      <c r="C4" s="32"/>
      <c r="D4" s="32"/>
      <c r="E4" s="32"/>
      <c r="F4" s="32"/>
      <c r="G4" s="32"/>
      <c r="H4" s="32"/>
      <c r="I4" s="32"/>
    </row>
    <row r="5" spans="1:9" ht="22.9" customHeight="1">
      <c r="A5" s="4" t="str">
        <f>IFERROR(HYPERLINK("#'Start'!A1","← Start"),"← Start")</f>
        <v>← Start</v>
      </c>
      <c r="B5" s="1"/>
      <c r="C5" s="1"/>
      <c r="D5" s="1"/>
      <c r="E5" s="1"/>
      <c r="F5" s="1"/>
      <c r="G5" s="1"/>
      <c r="H5" s="1"/>
      <c r="I5" s="1"/>
    </row>
    <row r="6" spans="1:9" ht="43.15" customHeight="1">
      <c r="A6" s="11" t="s">
        <v>62</v>
      </c>
      <c r="B6" s="11" t="s">
        <v>63</v>
      </c>
      <c r="C6" s="11" t="s">
        <v>35</v>
      </c>
      <c r="D6" s="11" t="s">
        <v>36</v>
      </c>
      <c r="E6" s="11" t="s">
        <v>64</v>
      </c>
      <c r="F6" s="11" t="s">
        <v>37</v>
      </c>
      <c r="G6" s="11" t="s">
        <v>38</v>
      </c>
      <c r="H6" s="11" t="s">
        <v>65</v>
      </c>
      <c r="I6" s="11" t="s">
        <v>66</v>
      </c>
    </row>
    <row r="7" spans="1:9" ht="43.9" customHeight="1">
      <c r="A7" s="15" t="s">
        <v>33</v>
      </c>
      <c r="B7" s="16" t="s">
        <v>67</v>
      </c>
      <c r="C7" s="16" t="s">
        <v>68</v>
      </c>
      <c r="D7" s="16" t="s">
        <v>69</v>
      </c>
      <c r="E7" s="16" t="s">
        <v>70</v>
      </c>
      <c r="F7" s="16" t="s">
        <v>71</v>
      </c>
      <c r="G7" s="16" t="s">
        <v>72</v>
      </c>
      <c r="H7" s="16" t="s">
        <v>73</v>
      </c>
      <c r="I7" s="16" t="s">
        <v>74</v>
      </c>
    </row>
    <row r="8" spans="1:9" ht="43.9" customHeight="1">
      <c r="A8" s="15" t="s">
        <v>75</v>
      </c>
      <c r="B8" s="16" t="s">
        <v>67</v>
      </c>
      <c r="C8" s="16" t="s">
        <v>76</v>
      </c>
      <c r="D8" s="16" t="s">
        <v>69</v>
      </c>
      <c r="E8" s="16" t="s">
        <v>70</v>
      </c>
      <c r="F8" s="16" t="s">
        <v>77</v>
      </c>
      <c r="G8" s="16" t="s">
        <v>72</v>
      </c>
      <c r="H8" s="16" t="s">
        <v>73</v>
      </c>
      <c r="I8" s="16" t="s">
        <v>74</v>
      </c>
    </row>
    <row r="9" spans="1:9" ht="43.9" customHeight="1">
      <c r="A9" s="15" t="s">
        <v>78</v>
      </c>
      <c r="B9" s="16" t="s">
        <v>67</v>
      </c>
      <c r="C9" s="16" t="s">
        <v>79</v>
      </c>
      <c r="D9" s="16" t="s">
        <v>69</v>
      </c>
      <c r="E9" s="16" t="s">
        <v>70</v>
      </c>
      <c r="F9" s="16" t="s">
        <v>80</v>
      </c>
      <c r="G9" s="16" t="s">
        <v>81</v>
      </c>
      <c r="H9" s="16" t="s">
        <v>73</v>
      </c>
      <c r="I9" s="16" t="s">
        <v>74</v>
      </c>
    </row>
    <row r="10" spans="1:9" ht="43.9" customHeight="1">
      <c r="A10" s="15" t="s">
        <v>82</v>
      </c>
      <c r="B10" s="16" t="s">
        <v>67</v>
      </c>
      <c r="C10" s="16" t="s">
        <v>83</v>
      </c>
      <c r="D10" s="16" t="s">
        <v>69</v>
      </c>
      <c r="E10" s="16" t="s">
        <v>70</v>
      </c>
      <c r="F10" s="16" t="s">
        <v>84</v>
      </c>
      <c r="G10" s="16" t="s">
        <v>72</v>
      </c>
      <c r="H10" s="16" t="s">
        <v>73</v>
      </c>
      <c r="I10" s="16" t="s">
        <v>74</v>
      </c>
    </row>
    <row r="11" spans="1:9" ht="43.9" customHeight="1">
      <c r="A11" s="15" t="s">
        <v>85</v>
      </c>
      <c r="B11" s="16" t="s">
        <v>67</v>
      </c>
      <c r="C11" s="16" t="s">
        <v>86</v>
      </c>
      <c r="D11" s="16" t="s">
        <v>69</v>
      </c>
      <c r="E11" s="16" t="s">
        <v>70</v>
      </c>
      <c r="F11" s="16" t="s">
        <v>87</v>
      </c>
      <c r="G11" s="16" t="s">
        <v>72</v>
      </c>
      <c r="H11" s="16" t="s">
        <v>73</v>
      </c>
      <c r="I11" s="16" t="s">
        <v>74</v>
      </c>
    </row>
    <row r="12" spans="1:9" ht="43.9" customHeight="1">
      <c r="A12" s="15" t="s">
        <v>88</v>
      </c>
      <c r="B12" s="16" t="s">
        <v>67</v>
      </c>
      <c r="C12" s="16" t="s">
        <v>89</v>
      </c>
      <c r="D12" s="16" t="s">
        <v>69</v>
      </c>
      <c r="E12" s="16" t="s">
        <v>70</v>
      </c>
      <c r="F12" s="16" t="s">
        <v>90</v>
      </c>
      <c r="G12" s="16" t="s">
        <v>81</v>
      </c>
      <c r="H12" s="16" t="s">
        <v>73</v>
      </c>
      <c r="I12" s="16" t="s">
        <v>74</v>
      </c>
    </row>
    <row r="13" spans="1:9" ht="43.9" customHeight="1">
      <c r="A13" s="15" t="s">
        <v>91</v>
      </c>
      <c r="B13" s="16" t="s">
        <v>67</v>
      </c>
      <c r="C13" s="16" t="s">
        <v>92</v>
      </c>
      <c r="D13" s="16" t="s">
        <v>69</v>
      </c>
      <c r="E13" s="16" t="s">
        <v>70</v>
      </c>
      <c r="F13" s="16" t="s">
        <v>93</v>
      </c>
      <c r="G13" s="16" t="s">
        <v>81</v>
      </c>
      <c r="H13" s="16" t="s">
        <v>73</v>
      </c>
      <c r="I13" s="16" t="s">
        <v>74</v>
      </c>
    </row>
    <row r="14" spans="1:9" ht="43.9" customHeight="1">
      <c r="A14" s="15" t="s">
        <v>94</v>
      </c>
      <c r="B14" s="16" t="s">
        <v>67</v>
      </c>
      <c r="C14" s="16" t="s">
        <v>95</v>
      </c>
      <c r="D14" s="16" t="s">
        <v>69</v>
      </c>
      <c r="E14" s="16" t="s">
        <v>70</v>
      </c>
      <c r="F14" s="16" t="s">
        <v>96</v>
      </c>
      <c r="G14" s="16" t="s">
        <v>81</v>
      </c>
      <c r="H14" s="16" t="s">
        <v>73</v>
      </c>
      <c r="I14" s="16" t="s">
        <v>74</v>
      </c>
    </row>
    <row r="15" spans="1:9" ht="43.9" customHeight="1">
      <c r="A15" s="15" t="s">
        <v>97</v>
      </c>
      <c r="B15" s="16" t="s">
        <v>67</v>
      </c>
      <c r="C15" s="16" t="s">
        <v>98</v>
      </c>
      <c r="D15" s="16" t="s">
        <v>69</v>
      </c>
      <c r="E15" s="16" t="s">
        <v>70</v>
      </c>
      <c r="F15" s="16" t="s">
        <v>99</v>
      </c>
      <c r="G15" s="16" t="s">
        <v>100</v>
      </c>
      <c r="H15" s="16" t="s">
        <v>101</v>
      </c>
      <c r="I15" s="16" t="s">
        <v>74</v>
      </c>
    </row>
    <row r="16" spans="1:9" ht="43.9" customHeight="1">
      <c r="A16" s="15" t="s">
        <v>102</v>
      </c>
      <c r="B16" s="16" t="s">
        <v>67</v>
      </c>
      <c r="C16" s="16" t="s">
        <v>103</v>
      </c>
      <c r="D16" s="16" t="s">
        <v>69</v>
      </c>
      <c r="E16" s="16" t="s">
        <v>70</v>
      </c>
      <c r="F16" s="16" t="s">
        <v>104</v>
      </c>
      <c r="G16" s="16" t="s">
        <v>100</v>
      </c>
      <c r="H16" s="16" t="s">
        <v>101</v>
      </c>
      <c r="I16" s="16" t="s">
        <v>74</v>
      </c>
    </row>
    <row r="17" spans="1:9" ht="43.9" customHeight="1">
      <c r="A17" s="15" t="s">
        <v>105</v>
      </c>
      <c r="B17" s="16" t="s">
        <v>67</v>
      </c>
      <c r="C17" s="16" t="s">
        <v>106</v>
      </c>
      <c r="D17" s="16" t="s">
        <v>69</v>
      </c>
      <c r="E17" s="16" t="s">
        <v>70</v>
      </c>
      <c r="F17" s="16" t="s">
        <v>107</v>
      </c>
      <c r="G17" s="16" t="s">
        <v>100</v>
      </c>
      <c r="H17" s="16" t="s">
        <v>101</v>
      </c>
      <c r="I17" s="16" t="s">
        <v>74</v>
      </c>
    </row>
    <row r="18" spans="1:9" ht="43.9" customHeight="1">
      <c r="A18" s="15" t="s">
        <v>108</v>
      </c>
      <c r="B18" s="16" t="s">
        <v>109</v>
      </c>
      <c r="C18" s="16"/>
      <c r="D18" s="16"/>
      <c r="E18" s="16"/>
      <c r="F18" s="16"/>
      <c r="G18" s="16"/>
      <c r="H18" s="16"/>
      <c r="I18" s="16"/>
    </row>
    <row r="19" spans="1:9" ht="43.9" customHeight="1">
      <c r="A19" s="15" t="s">
        <v>110</v>
      </c>
      <c r="B19" s="16" t="s">
        <v>109</v>
      </c>
      <c r="C19" s="16"/>
      <c r="D19" s="16"/>
      <c r="E19" s="16"/>
      <c r="F19" s="16"/>
      <c r="G19" s="16"/>
      <c r="H19" s="16"/>
      <c r="I19" s="16"/>
    </row>
    <row r="20" spans="1:9" ht="43.9" customHeight="1">
      <c r="A20" s="15" t="s">
        <v>111</v>
      </c>
      <c r="B20" s="16" t="s">
        <v>109</v>
      </c>
      <c r="C20" s="16"/>
      <c r="D20" s="16"/>
      <c r="E20" s="16"/>
      <c r="F20" s="16"/>
      <c r="G20" s="16"/>
      <c r="H20" s="16"/>
      <c r="I20" s="16"/>
    </row>
    <row r="21" spans="1:9" ht="43.9" customHeight="1">
      <c r="A21" s="15" t="s">
        <v>112</v>
      </c>
      <c r="B21" s="16" t="s">
        <v>109</v>
      </c>
      <c r="C21" s="16"/>
      <c r="D21" s="16"/>
      <c r="E21" s="16"/>
      <c r="F21" s="16"/>
      <c r="G21" s="16"/>
      <c r="H21" s="16"/>
      <c r="I21" s="16"/>
    </row>
    <row r="22" spans="1:9" ht="43.9" customHeight="1">
      <c r="A22" s="15" t="s">
        <v>113</v>
      </c>
      <c r="B22" s="16" t="s">
        <v>109</v>
      </c>
      <c r="C22" s="16"/>
      <c r="D22" s="16"/>
      <c r="E22" s="16"/>
      <c r="F22" s="16"/>
      <c r="G22" s="16"/>
      <c r="H22" s="16"/>
      <c r="I22" s="16"/>
    </row>
    <row r="23" spans="1:9" ht="43.9" customHeight="1">
      <c r="A23" s="15" t="s">
        <v>114</v>
      </c>
      <c r="B23" s="16" t="s">
        <v>109</v>
      </c>
      <c r="C23" s="16"/>
      <c r="D23" s="16"/>
      <c r="E23" s="16"/>
      <c r="F23" s="16"/>
      <c r="G23" s="16"/>
      <c r="H23" s="16"/>
      <c r="I23" s="16"/>
    </row>
    <row r="24" spans="1:9" ht="43.9" customHeight="1">
      <c r="A24" s="15" t="s">
        <v>115</v>
      </c>
      <c r="B24" s="16" t="s">
        <v>109</v>
      </c>
      <c r="C24" s="16"/>
      <c r="D24" s="16"/>
      <c r="E24" s="16"/>
      <c r="F24" s="16"/>
      <c r="G24" s="16"/>
      <c r="H24" s="16"/>
      <c r="I24" s="16"/>
    </row>
    <row r="25" spans="1:9" ht="43.9" customHeight="1">
      <c r="A25" s="15" t="s">
        <v>116</v>
      </c>
      <c r="B25" s="16" t="s">
        <v>109</v>
      </c>
      <c r="C25" s="16"/>
      <c r="D25" s="16"/>
      <c r="E25" s="16"/>
      <c r="F25" s="16"/>
      <c r="G25" s="16"/>
      <c r="H25" s="16"/>
      <c r="I25" s="16"/>
    </row>
    <row r="26" spans="1:9" ht="43.9" customHeight="1">
      <c r="A26" s="15" t="s">
        <v>117</v>
      </c>
      <c r="B26" s="16" t="s">
        <v>109</v>
      </c>
      <c r="C26" s="16"/>
      <c r="D26" s="16"/>
      <c r="E26" s="16"/>
      <c r="F26" s="16"/>
      <c r="G26" s="16"/>
      <c r="H26" s="16"/>
      <c r="I26" s="16"/>
    </row>
    <row r="27" spans="1:9" ht="43.9" customHeight="1">
      <c r="A27" s="15" t="s">
        <v>118</v>
      </c>
      <c r="B27" s="16" t="s">
        <v>109</v>
      </c>
      <c r="C27" s="16"/>
      <c r="D27" s="16"/>
      <c r="E27" s="16"/>
      <c r="F27" s="16"/>
      <c r="G27" s="16"/>
      <c r="H27" s="16"/>
      <c r="I27" s="16"/>
    </row>
    <row r="28" spans="1:9" ht="43.9" customHeight="1">
      <c r="A28" s="15" t="s">
        <v>119</v>
      </c>
      <c r="B28" s="16" t="s">
        <v>109</v>
      </c>
      <c r="C28" s="16"/>
      <c r="D28" s="16"/>
      <c r="E28" s="16"/>
      <c r="F28" s="16"/>
      <c r="G28" s="16"/>
      <c r="H28" s="16"/>
      <c r="I28" s="16"/>
    </row>
    <row r="29" spans="1:9" ht="43.9" customHeight="1">
      <c r="A29" s="15" t="s">
        <v>120</v>
      </c>
      <c r="B29" s="16" t="s">
        <v>109</v>
      </c>
      <c r="C29" s="16"/>
      <c r="D29" s="16"/>
      <c r="E29" s="16"/>
      <c r="F29" s="16"/>
      <c r="G29" s="16"/>
      <c r="H29" s="16"/>
      <c r="I29" s="16"/>
    </row>
    <row r="30" spans="1:9" ht="43.9" customHeight="1">
      <c r="A30" s="15" t="s">
        <v>121</v>
      </c>
      <c r="B30" s="16" t="s">
        <v>109</v>
      </c>
      <c r="C30" s="16"/>
      <c r="D30" s="16"/>
      <c r="E30" s="16"/>
      <c r="F30" s="16"/>
      <c r="G30" s="16"/>
      <c r="H30" s="16"/>
      <c r="I30" s="16"/>
    </row>
    <row r="31" spans="1:9" ht="43.9" customHeight="1">
      <c r="A31" s="15" t="s">
        <v>122</v>
      </c>
      <c r="B31" s="16" t="s">
        <v>109</v>
      </c>
      <c r="C31" s="16"/>
      <c r="D31" s="16"/>
      <c r="E31" s="16"/>
      <c r="F31" s="16"/>
      <c r="G31" s="16"/>
      <c r="H31" s="16"/>
      <c r="I31" s="16"/>
    </row>
    <row r="32" spans="1:9" ht="43.9" customHeight="1">
      <c r="A32" s="15" t="s">
        <v>123</v>
      </c>
      <c r="B32" s="16" t="s">
        <v>109</v>
      </c>
      <c r="C32" s="16"/>
      <c r="D32" s="16"/>
      <c r="E32" s="16"/>
      <c r="F32" s="16"/>
      <c r="G32" s="16"/>
      <c r="H32" s="16"/>
      <c r="I32" s="16"/>
    </row>
    <row r="33" spans="1:9" ht="43.9" customHeight="1">
      <c r="A33" s="15" t="s">
        <v>124</v>
      </c>
      <c r="B33" s="16" t="s">
        <v>109</v>
      </c>
      <c r="C33" s="16"/>
      <c r="D33" s="16"/>
      <c r="E33" s="16"/>
      <c r="F33" s="16"/>
      <c r="G33" s="16"/>
      <c r="H33" s="16"/>
      <c r="I33" s="16"/>
    </row>
    <row r="34" spans="1:9" ht="43.9" customHeight="1">
      <c r="A34" s="15" t="s">
        <v>125</v>
      </c>
      <c r="B34" s="16" t="s">
        <v>109</v>
      </c>
      <c r="C34" s="16"/>
      <c r="D34" s="16"/>
      <c r="E34" s="16"/>
      <c r="F34" s="16"/>
      <c r="G34" s="16"/>
      <c r="H34" s="16"/>
      <c r="I34" s="16"/>
    </row>
    <row r="35" spans="1:9" ht="43.9" customHeight="1">
      <c r="A35" s="15" t="s">
        <v>126</v>
      </c>
      <c r="B35" s="16" t="s">
        <v>109</v>
      </c>
      <c r="C35" s="16"/>
      <c r="D35" s="16"/>
      <c r="E35" s="16"/>
      <c r="F35" s="16"/>
      <c r="G35" s="16"/>
      <c r="H35" s="16"/>
      <c r="I35" s="16"/>
    </row>
    <row r="36" spans="1:9" ht="43.9" customHeight="1">
      <c r="A36" s="15" t="s">
        <v>127</v>
      </c>
      <c r="B36" s="16" t="s">
        <v>109</v>
      </c>
      <c r="C36" s="16"/>
      <c r="D36" s="16"/>
      <c r="E36" s="16"/>
      <c r="F36" s="16"/>
      <c r="G36" s="16"/>
      <c r="H36" s="16"/>
      <c r="I36" s="16"/>
    </row>
    <row r="37" spans="1:9" ht="43.9" customHeight="1">
      <c r="A37" s="15" t="s">
        <v>128</v>
      </c>
      <c r="B37" s="16" t="s">
        <v>109</v>
      </c>
      <c r="C37" s="16"/>
      <c r="D37" s="16"/>
      <c r="E37" s="16"/>
      <c r="F37" s="16"/>
      <c r="G37" s="16"/>
      <c r="H37" s="16"/>
      <c r="I37" s="16"/>
    </row>
    <row r="38" spans="1:9" ht="43.9" customHeight="1">
      <c r="A38" s="15" t="s">
        <v>129</v>
      </c>
      <c r="B38" s="16" t="s">
        <v>109</v>
      </c>
      <c r="C38" s="16"/>
      <c r="D38" s="16"/>
      <c r="E38" s="16"/>
      <c r="F38" s="16"/>
      <c r="G38" s="16"/>
      <c r="H38" s="16"/>
      <c r="I38" s="16"/>
    </row>
    <row r="39" spans="1:9" ht="43.9" customHeight="1">
      <c r="A39" s="15" t="s">
        <v>130</v>
      </c>
      <c r="B39" s="16" t="s">
        <v>109</v>
      </c>
      <c r="C39" s="16"/>
      <c r="D39" s="16"/>
      <c r="E39" s="16"/>
      <c r="F39" s="16"/>
      <c r="G39" s="16"/>
      <c r="H39" s="16"/>
      <c r="I39" s="16"/>
    </row>
    <row r="40" spans="1:9" ht="43.9" customHeight="1">
      <c r="A40" s="15" t="s">
        <v>131</v>
      </c>
      <c r="B40" s="16" t="s">
        <v>109</v>
      </c>
      <c r="C40" s="16"/>
      <c r="D40" s="16"/>
      <c r="E40" s="16"/>
      <c r="F40" s="16"/>
      <c r="G40" s="16"/>
      <c r="H40" s="16"/>
      <c r="I40" s="16"/>
    </row>
    <row r="41" spans="1:9" ht="43.9" customHeight="1">
      <c r="A41" s="15" t="s">
        <v>132</v>
      </c>
      <c r="B41" s="16" t="s">
        <v>109</v>
      </c>
      <c r="C41" s="16"/>
      <c r="D41" s="16"/>
      <c r="E41" s="16"/>
      <c r="F41" s="16"/>
      <c r="G41" s="16"/>
      <c r="H41" s="16"/>
      <c r="I41" s="16"/>
    </row>
    <row r="42" spans="1:9" ht="43.9" customHeight="1">
      <c r="A42" s="15" t="s">
        <v>133</v>
      </c>
      <c r="B42" s="16" t="s">
        <v>109</v>
      </c>
      <c r="C42" s="16"/>
      <c r="D42" s="16"/>
      <c r="E42" s="16"/>
      <c r="F42" s="16"/>
      <c r="G42" s="16"/>
      <c r="H42" s="16"/>
      <c r="I42" s="16"/>
    </row>
    <row r="43" spans="1:9" ht="43.9" customHeight="1">
      <c r="A43" s="15" t="s">
        <v>134</v>
      </c>
      <c r="B43" s="16" t="s">
        <v>109</v>
      </c>
      <c r="C43" s="16"/>
      <c r="D43" s="16"/>
      <c r="E43" s="16"/>
      <c r="F43" s="16"/>
      <c r="G43" s="16"/>
      <c r="H43" s="16"/>
      <c r="I43" s="16"/>
    </row>
    <row r="44" spans="1:9" ht="43.9" customHeight="1">
      <c r="A44" s="15" t="s">
        <v>135</v>
      </c>
      <c r="B44" s="16" t="s">
        <v>109</v>
      </c>
      <c r="C44" s="16"/>
      <c r="D44" s="16"/>
      <c r="E44" s="16"/>
      <c r="F44" s="16"/>
      <c r="G44" s="16"/>
      <c r="H44" s="16"/>
      <c r="I44" s="16"/>
    </row>
    <row r="45" spans="1:9" ht="43.9" customHeight="1">
      <c r="A45" s="15" t="s">
        <v>136</v>
      </c>
      <c r="B45" s="16" t="s">
        <v>109</v>
      </c>
      <c r="C45" s="16"/>
      <c r="D45" s="16"/>
      <c r="E45" s="16"/>
      <c r="F45" s="16"/>
      <c r="G45" s="16"/>
      <c r="H45" s="16"/>
      <c r="I45" s="16"/>
    </row>
    <row r="46" spans="1:9" ht="43.9" customHeight="1">
      <c r="A46" s="15" t="s">
        <v>137</v>
      </c>
      <c r="B46" s="16" t="s">
        <v>109</v>
      </c>
      <c r="C46" s="16"/>
      <c r="D46" s="16"/>
      <c r="E46" s="16"/>
      <c r="F46" s="16"/>
      <c r="G46" s="16"/>
      <c r="H46" s="16"/>
      <c r="I46" s="16"/>
    </row>
    <row r="47" spans="1:9" ht="43.9" customHeight="1">
      <c r="A47" s="15" t="s">
        <v>138</v>
      </c>
      <c r="B47" s="16" t="s">
        <v>109</v>
      </c>
      <c r="C47" s="16"/>
      <c r="D47" s="16"/>
      <c r="E47" s="16"/>
      <c r="F47" s="16"/>
      <c r="G47" s="16"/>
      <c r="H47" s="16"/>
      <c r="I47" s="16"/>
    </row>
    <row r="48" spans="1:9" ht="43.9" customHeight="1">
      <c r="A48" s="15" t="s">
        <v>139</v>
      </c>
      <c r="B48" s="16" t="s">
        <v>109</v>
      </c>
      <c r="C48" s="16"/>
      <c r="D48" s="16"/>
      <c r="E48" s="16"/>
      <c r="F48" s="16"/>
      <c r="G48" s="16"/>
      <c r="H48" s="16"/>
      <c r="I48" s="16"/>
    </row>
    <row r="49" spans="1:9" ht="43.9" customHeight="1">
      <c r="A49" s="15" t="s">
        <v>140</v>
      </c>
      <c r="B49" s="16" t="s">
        <v>109</v>
      </c>
      <c r="C49" s="16"/>
      <c r="D49" s="16"/>
      <c r="E49" s="16"/>
      <c r="F49" s="16"/>
      <c r="G49" s="16"/>
      <c r="H49" s="16"/>
      <c r="I49" s="16"/>
    </row>
    <row r="50" spans="1:9" ht="43.9" customHeight="1">
      <c r="A50" s="15" t="s">
        <v>141</v>
      </c>
      <c r="B50" s="16" t="s">
        <v>109</v>
      </c>
      <c r="C50" s="16"/>
      <c r="D50" s="16"/>
      <c r="E50" s="16"/>
      <c r="F50" s="16"/>
      <c r="G50" s="16"/>
      <c r="H50" s="16"/>
      <c r="I50" s="16"/>
    </row>
    <row r="51" spans="1:9" ht="43.9" customHeight="1">
      <c r="A51" s="15" t="s">
        <v>142</v>
      </c>
      <c r="B51" s="16" t="s">
        <v>109</v>
      </c>
      <c r="C51" s="16"/>
      <c r="D51" s="16"/>
      <c r="E51" s="16"/>
      <c r="F51" s="16"/>
      <c r="G51" s="16"/>
      <c r="H51" s="16"/>
      <c r="I51" s="16"/>
    </row>
    <row r="52" spans="1:9" ht="43.9" customHeight="1">
      <c r="A52" s="15" t="s">
        <v>143</v>
      </c>
      <c r="B52" s="16" t="s">
        <v>109</v>
      </c>
      <c r="C52" s="16"/>
      <c r="D52" s="16"/>
      <c r="E52" s="16"/>
      <c r="F52" s="16"/>
      <c r="G52" s="16"/>
      <c r="H52" s="16"/>
      <c r="I52" s="16"/>
    </row>
    <row r="53" spans="1:9" ht="43.9" customHeight="1">
      <c r="A53" s="15" t="s">
        <v>144</v>
      </c>
      <c r="B53" s="16" t="s">
        <v>109</v>
      </c>
      <c r="C53" s="16"/>
      <c r="D53" s="16"/>
      <c r="E53" s="16"/>
      <c r="F53" s="16"/>
      <c r="G53" s="16"/>
      <c r="H53" s="16"/>
      <c r="I53" s="16"/>
    </row>
    <row r="54" spans="1:9" ht="43.9" customHeight="1">
      <c r="A54" s="15" t="s">
        <v>145</v>
      </c>
      <c r="B54" s="16" t="s">
        <v>109</v>
      </c>
      <c r="C54" s="16"/>
      <c r="D54" s="16"/>
      <c r="E54" s="16"/>
      <c r="F54" s="16"/>
      <c r="G54" s="16"/>
      <c r="H54" s="16"/>
      <c r="I54" s="16"/>
    </row>
    <row r="55" spans="1:9" ht="43.9" customHeight="1">
      <c r="A55" s="15" t="s">
        <v>146</v>
      </c>
      <c r="B55" s="16" t="s">
        <v>109</v>
      </c>
      <c r="C55" s="16"/>
      <c r="D55" s="16"/>
      <c r="E55" s="16"/>
      <c r="F55" s="16"/>
      <c r="G55" s="16"/>
      <c r="H55" s="16"/>
      <c r="I55" s="16"/>
    </row>
    <row r="56" spans="1:9" ht="43.9" customHeight="1">
      <c r="A56" s="15" t="s">
        <v>147</v>
      </c>
      <c r="B56" s="16" t="s">
        <v>109</v>
      </c>
      <c r="C56" s="16"/>
      <c r="D56" s="16"/>
      <c r="E56" s="16"/>
      <c r="F56" s="16"/>
      <c r="G56" s="16"/>
      <c r="H56" s="16"/>
      <c r="I56" s="16"/>
    </row>
    <row r="57" spans="1:9" ht="22.9" customHeight="1">
      <c r="A57" s="1"/>
      <c r="B57" s="1"/>
      <c r="C57" s="1"/>
      <c r="D57" s="1"/>
      <c r="E57" s="1"/>
      <c r="F57" s="1"/>
      <c r="G57" s="1"/>
      <c r="H57" s="1"/>
      <c r="I57" s="1"/>
    </row>
    <row r="58" spans="1:9" ht="22.9" customHeight="1">
      <c r="A58" s="1"/>
      <c r="B58" s="1"/>
      <c r="C58" s="1"/>
      <c r="D58" s="1"/>
      <c r="E58" s="1"/>
      <c r="F58" s="1"/>
      <c r="G58" s="1"/>
      <c r="H58" s="1"/>
      <c r="I58" s="1"/>
    </row>
    <row r="59" spans="1:9" ht="22.9" customHeight="1">
      <c r="A59" s="1"/>
      <c r="B59" s="1"/>
      <c r="C59" s="1"/>
      <c r="D59" s="1"/>
      <c r="E59" s="1"/>
      <c r="F59" s="1"/>
      <c r="G59" s="1"/>
      <c r="H59" s="1"/>
      <c r="I59" s="1"/>
    </row>
    <row r="60" spans="1:9" ht="22.9" customHeight="1">
      <c r="A60" s="1"/>
      <c r="B60" s="1"/>
      <c r="C60" s="1"/>
      <c r="D60" s="1"/>
      <c r="E60" s="1"/>
      <c r="F60" s="1"/>
      <c r="G60" s="1"/>
      <c r="H60" s="1"/>
      <c r="I60" s="1"/>
    </row>
    <row r="61" spans="1:9" ht="22.9" customHeight="1">
      <c r="A61" s="1"/>
      <c r="B61" s="1"/>
      <c r="C61" s="1"/>
      <c r="D61" s="1"/>
      <c r="E61" s="1"/>
      <c r="F61" s="1"/>
      <c r="G61" s="1"/>
      <c r="H61" s="1"/>
      <c r="I61" s="1"/>
    </row>
    <row r="62" spans="1:9" ht="22.9" customHeight="1">
      <c r="A62" s="1"/>
      <c r="B62" s="1"/>
      <c r="C62" s="1"/>
      <c r="D62" s="1"/>
      <c r="E62" s="1"/>
      <c r="F62" s="1"/>
      <c r="G62" s="1"/>
      <c r="H62" s="1"/>
      <c r="I62" s="1"/>
    </row>
    <row r="63" spans="1:9" ht="22.9" customHeight="1">
      <c r="A63" s="1"/>
      <c r="B63" s="1"/>
      <c r="C63" s="1"/>
      <c r="D63" s="1"/>
      <c r="E63" s="1"/>
      <c r="F63" s="1"/>
      <c r="G63" s="1"/>
      <c r="H63" s="1"/>
      <c r="I63" s="1"/>
    </row>
    <row r="64" spans="1:9" ht="22.9" customHeight="1">
      <c r="A64" s="1"/>
      <c r="B64" s="1"/>
      <c r="C64" s="1"/>
      <c r="D64" s="1"/>
      <c r="E64" s="1"/>
      <c r="F64" s="1"/>
      <c r="G64" s="1"/>
      <c r="H64" s="1"/>
      <c r="I64" s="1"/>
    </row>
    <row r="65" spans="1:9" ht="22.9" customHeight="1">
      <c r="A65" s="1"/>
      <c r="B65" s="1"/>
      <c r="C65" s="1"/>
      <c r="D65" s="1"/>
      <c r="E65" s="1"/>
      <c r="F65" s="1"/>
      <c r="G65" s="1"/>
      <c r="H65" s="1"/>
      <c r="I65" s="1"/>
    </row>
    <row r="66" spans="1:9" ht="22.9" customHeight="1">
      <c r="A66" s="1"/>
      <c r="B66" s="1"/>
      <c r="C66" s="1"/>
      <c r="D66" s="1"/>
      <c r="E66" s="1"/>
      <c r="F66" s="1"/>
      <c r="G66" s="1"/>
      <c r="H66" s="1"/>
      <c r="I66" s="1"/>
    </row>
    <row r="67" spans="1:9" ht="22.9" customHeight="1">
      <c r="A67" s="1"/>
      <c r="B67" s="1"/>
      <c r="C67" s="1"/>
      <c r="D67" s="1"/>
      <c r="E67" s="1"/>
      <c r="F67" s="1"/>
      <c r="G67" s="1"/>
      <c r="H67" s="1"/>
      <c r="I67" s="1"/>
    </row>
    <row r="68" spans="1:9" ht="22.9" customHeight="1">
      <c r="A68" s="1"/>
      <c r="B68" s="1"/>
      <c r="C68" s="1"/>
      <c r="D68" s="1"/>
      <c r="E68" s="1"/>
      <c r="F68" s="1"/>
      <c r="G68" s="1"/>
      <c r="H68" s="1"/>
      <c r="I68" s="1"/>
    </row>
    <row r="69" spans="1:9" ht="22.9" customHeight="1">
      <c r="A69" s="1"/>
      <c r="B69" s="1"/>
      <c r="C69" s="1"/>
      <c r="D69" s="1"/>
      <c r="E69" s="1"/>
      <c r="F69" s="1"/>
      <c r="G69" s="1"/>
      <c r="H69" s="1"/>
      <c r="I69" s="1"/>
    </row>
    <row r="70" spans="1:9" ht="22.9" customHeight="1">
      <c r="A70" s="1"/>
      <c r="B70" s="1"/>
      <c r="C70" s="1"/>
      <c r="D70" s="1"/>
      <c r="E70" s="1"/>
      <c r="F70" s="1"/>
      <c r="G70" s="1"/>
      <c r="H70" s="1"/>
      <c r="I70" s="1"/>
    </row>
    <row r="71" spans="1:9" ht="22.9" customHeight="1">
      <c r="A71" s="1"/>
      <c r="B71" s="1"/>
      <c r="C71" s="1"/>
      <c r="D71" s="1"/>
      <c r="E71" s="1"/>
      <c r="F71" s="1"/>
      <c r="G71" s="1"/>
      <c r="H71" s="1"/>
      <c r="I71" s="1"/>
    </row>
    <row r="72" spans="1:9" ht="22.9" customHeight="1">
      <c r="A72" s="1"/>
      <c r="B72" s="1"/>
      <c r="C72" s="1"/>
      <c r="D72" s="1"/>
      <c r="E72" s="1"/>
      <c r="F72" s="1"/>
      <c r="G72" s="1"/>
      <c r="H72" s="1"/>
      <c r="I72" s="1"/>
    </row>
    <row r="73" spans="1:9" ht="22.9" customHeight="1">
      <c r="A73" s="1"/>
      <c r="B73" s="1"/>
      <c r="C73" s="1"/>
      <c r="D73" s="1"/>
      <c r="E73" s="1"/>
      <c r="F73" s="1"/>
      <c r="G73" s="1"/>
      <c r="H73" s="1"/>
      <c r="I73" s="1"/>
    </row>
    <row r="74" spans="1:9" ht="22.9" customHeight="1">
      <c r="A74" s="1"/>
      <c r="B74" s="1"/>
      <c r="C74" s="1"/>
      <c r="D74" s="1"/>
      <c r="E74" s="1"/>
      <c r="F74" s="1"/>
      <c r="G74" s="1"/>
      <c r="H74" s="1"/>
      <c r="I74" s="1"/>
    </row>
    <row r="75" spans="1:9" ht="22.9" customHeight="1">
      <c r="A75" s="1"/>
      <c r="B75" s="1"/>
      <c r="C75" s="1"/>
      <c r="D75" s="1"/>
      <c r="E75" s="1"/>
      <c r="F75" s="1"/>
      <c r="G75" s="1"/>
      <c r="H75" s="1"/>
      <c r="I75" s="1"/>
    </row>
    <row r="76" spans="1:9" ht="22.9" customHeight="1">
      <c r="A76" s="1"/>
      <c r="B76" s="1"/>
      <c r="C76" s="1"/>
      <c r="D76" s="1"/>
      <c r="E76" s="1"/>
      <c r="F76" s="1"/>
      <c r="G76" s="1"/>
      <c r="H76" s="1"/>
      <c r="I76" s="1"/>
    </row>
    <row r="77" spans="1:9" ht="22.9" customHeight="1">
      <c r="A77" s="1"/>
      <c r="B77" s="1"/>
      <c r="C77" s="1"/>
      <c r="D77" s="1"/>
      <c r="E77" s="1"/>
      <c r="F77" s="1"/>
      <c r="G77" s="1"/>
      <c r="H77" s="1"/>
      <c r="I77" s="1"/>
    </row>
    <row r="78" spans="1:9" ht="22.9" customHeight="1">
      <c r="A78" s="1"/>
      <c r="B78" s="1"/>
      <c r="C78" s="1"/>
      <c r="D78" s="1"/>
      <c r="E78" s="1"/>
      <c r="F78" s="1"/>
      <c r="G78" s="1"/>
      <c r="H78" s="1"/>
      <c r="I78" s="1"/>
    </row>
    <row r="79" spans="1:9" ht="22.9" customHeight="1">
      <c r="A79" s="1"/>
      <c r="B79" s="1"/>
      <c r="C79" s="1"/>
      <c r="D79" s="1"/>
      <c r="E79" s="1"/>
      <c r="F79" s="1"/>
      <c r="G79" s="1"/>
      <c r="H79" s="1"/>
      <c r="I79" s="1"/>
    </row>
    <row r="80" spans="1:9" ht="22.9" customHeight="1">
      <c r="A80" s="1"/>
      <c r="B80" s="1"/>
      <c r="C80" s="1"/>
      <c r="D80" s="1"/>
      <c r="E80" s="1"/>
      <c r="F80" s="1"/>
      <c r="G80" s="1"/>
      <c r="H80" s="1"/>
      <c r="I80" s="1"/>
    </row>
  </sheetData>
  <mergeCells count="2">
    <mergeCell ref="A1:I2"/>
    <mergeCell ref="A3:I4"/>
  </mergeCells>
  <dataValidations count="2">
    <dataValidation type="list" allowBlank="1" showInputMessage="1" showErrorMessage="1" errorTitle="Choose a listed value" error="Use the dropdown. Blank means not yet known; it is not approval." promptTitle="Case type" prompt="Only Live cases can contribute to planning." sqref="B7:B56" xr:uid="{00000000-0002-0000-0200-000000000000}">
      <formula1>"Inactive,Example,Live"</formula1>
    </dataValidation>
    <dataValidation type="list" allowBlank="1" showInputMessage="1" showErrorMessage="1" errorTitle="Choose a listed value" error="Use the dropdown. Blank means not yet known; it is not approval." promptTitle="Chosen proposal" prompt="The financial comparison follows this explicit proposal, not a relevance score." sqref="G7:G56" xr:uid="{00000000-0002-0000-0200-000001000000}">
      <formula1>"Simplify,Replace,Reduce scope,Retire,Retain"</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3" width="15" customWidth="1"/>
    <col min="4" max="4" width="19" customWidth="1"/>
    <col min="5" max="5" width="18" customWidth="1"/>
    <col min="6" max="6" width="42" customWidth="1"/>
    <col min="7" max="7" width="23" customWidth="1"/>
    <col min="8" max="11" width="14" customWidth="1"/>
  </cols>
  <sheetData>
    <row r="1" spans="1:11" ht="24" customHeight="1">
      <c r="A1" s="31" t="s">
        <v>148</v>
      </c>
      <c r="B1" s="31"/>
      <c r="C1" s="31"/>
      <c r="D1" s="31"/>
      <c r="E1" s="31"/>
      <c r="F1" s="31"/>
      <c r="G1" s="31"/>
      <c r="H1" s="2"/>
      <c r="I1" s="2"/>
      <c r="J1" s="2"/>
      <c r="K1" s="2"/>
    </row>
    <row r="2" spans="1:11" ht="24" customHeight="1">
      <c r="A2" s="31"/>
      <c r="B2" s="31"/>
      <c r="C2" s="31"/>
      <c r="D2" s="31"/>
      <c r="E2" s="31"/>
      <c r="F2" s="31"/>
      <c r="G2" s="31"/>
      <c r="H2" s="2"/>
      <c r="I2" s="2"/>
      <c r="J2" s="2"/>
      <c r="K2" s="2"/>
    </row>
    <row r="3" spans="1:11" ht="22.15" customHeight="1">
      <c r="A3" s="32" t="s">
        <v>149</v>
      </c>
      <c r="B3" s="32"/>
      <c r="C3" s="32"/>
      <c r="D3" s="32"/>
      <c r="E3" s="32"/>
      <c r="F3" s="32"/>
      <c r="G3" s="32"/>
      <c r="H3" s="3"/>
      <c r="I3" s="3"/>
      <c r="J3" s="3"/>
      <c r="K3" s="3"/>
    </row>
    <row r="4" spans="1:11" ht="22.15" customHeight="1">
      <c r="A4" s="32"/>
      <c r="B4" s="32"/>
      <c r="C4" s="32"/>
      <c r="D4" s="32"/>
      <c r="E4" s="32"/>
      <c r="F4" s="32"/>
      <c r="G4" s="32"/>
      <c r="H4" s="3"/>
      <c r="I4" s="3"/>
      <c r="J4" s="3"/>
      <c r="K4" s="3"/>
    </row>
    <row r="5" spans="1:11" ht="22.9" customHeight="1">
      <c r="A5" s="4" t="str">
        <f>IFERROR(HYPERLINK("#'Start'!A1","← Start"),"← Start")</f>
        <v>← Start</v>
      </c>
      <c r="B5" s="1"/>
      <c r="C5" s="1"/>
      <c r="D5" s="1"/>
      <c r="E5" s="1"/>
      <c r="F5" s="1"/>
      <c r="G5" s="1"/>
      <c r="H5" s="1"/>
      <c r="I5" s="1"/>
      <c r="J5" s="1"/>
      <c r="K5" s="1"/>
    </row>
    <row r="6" spans="1:11" ht="43.15" customHeight="1">
      <c r="A6" s="11" t="s">
        <v>62</v>
      </c>
      <c r="B6" s="11" t="s">
        <v>150</v>
      </c>
      <c r="C6" s="11" t="s">
        <v>151</v>
      </c>
      <c r="D6" s="11" t="s">
        <v>152</v>
      </c>
      <c r="E6" s="11" t="s">
        <v>153</v>
      </c>
      <c r="F6" s="11" t="s">
        <v>154</v>
      </c>
      <c r="G6" s="11" t="s">
        <v>155</v>
      </c>
      <c r="H6" s="11" t="s">
        <v>156</v>
      </c>
      <c r="I6" s="11" t="s">
        <v>157</v>
      </c>
      <c r="J6" s="11" t="s">
        <v>158</v>
      </c>
      <c r="K6" s="11" t="s">
        <v>159</v>
      </c>
    </row>
    <row r="7" spans="1:11" ht="43.9" customHeight="1">
      <c r="A7" s="15" t="s">
        <v>33</v>
      </c>
      <c r="B7" s="16" t="s">
        <v>160</v>
      </c>
      <c r="C7" s="17">
        <v>7333.333333333333</v>
      </c>
      <c r="D7" s="17">
        <v>150</v>
      </c>
      <c r="E7" s="18">
        <v>0</v>
      </c>
      <c r="F7" s="16" t="s">
        <v>161</v>
      </c>
      <c r="G7" s="14" t="str">
        <f>IF(AND(COUNT(C7:E7)=3,MIN(C7:E7)&gt;=0,OR(B7="Staff",B7="Management",B7="Specialist"),LEN(TRIM(F7))&gt;0,COUNT(Settings!$B$9:$B$11)=3,MIN(Settings!$B$9:$B$11)&gt;=0),"Ready","Complete blue inputs")</f>
        <v>Ready</v>
      </c>
      <c r="H7" s="14">
        <f t="shared" ref="H7:H38" si="0">IF(G7="Ready",IF(B7="Specialist",0,C7),"")</f>
        <v>7333.333333333333</v>
      </c>
      <c r="I7" s="14">
        <f t="shared" ref="I7:I38" si="1">IF(G7="Ready",D7+IF(B7="Specialist",C7,0),"")</f>
        <v>150</v>
      </c>
      <c r="J7" s="14">
        <f>IF(G7="Ready",C7*IF(B7="Staff",Settings!$B$9,IF(B7="Management",Settings!$B$10,Settings!$B$11))+D7*Settings!$B$11,"")</f>
        <v>451250</v>
      </c>
      <c r="K7" s="14">
        <f t="shared" ref="K7:K38" si="2">IF(G7="Ready",J7+E7,"")</f>
        <v>451250</v>
      </c>
    </row>
    <row r="8" spans="1:11" ht="43.9" customHeight="1">
      <c r="A8" s="15" t="s">
        <v>75</v>
      </c>
      <c r="B8" s="16" t="s">
        <v>160</v>
      </c>
      <c r="C8" s="17">
        <v>1733.3333333333333</v>
      </c>
      <c r="D8" s="17">
        <v>0</v>
      </c>
      <c r="E8" s="18">
        <v>0</v>
      </c>
      <c r="F8" s="16" t="s">
        <v>162</v>
      </c>
      <c r="G8" s="14" t="str">
        <f>IF(AND(COUNT(C8:E8)=3,MIN(C8:E8)&gt;=0,OR(B8="Staff",B8="Management",B8="Specialist"),LEN(TRIM(F8))&gt;0,COUNT(Settings!$B$9:$B$11)=3,MIN(Settings!$B$9:$B$11)&gt;=0),"Ready","Complete blue inputs")</f>
        <v>Ready</v>
      </c>
      <c r="H8" s="14">
        <f t="shared" si="0"/>
        <v>1733.3333333333333</v>
      </c>
      <c r="I8" s="14">
        <f t="shared" si="1"/>
        <v>0</v>
      </c>
      <c r="J8" s="14">
        <f>IF(G8="Ready",C8*IF(B8="Staff",Settings!$B$9,IF(B8="Management",Settings!$B$10,Settings!$B$11))+D8*Settings!$B$11,"")</f>
        <v>104000</v>
      </c>
      <c r="K8" s="14">
        <f t="shared" si="2"/>
        <v>104000</v>
      </c>
    </row>
    <row r="9" spans="1:11" ht="43.9" customHeight="1">
      <c r="A9" s="15" t="s">
        <v>78</v>
      </c>
      <c r="B9" s="16" t="s">
        <v>160</v>
      </c>
      <c r="C9" s="17">
        <v>2296.6666666666665</v>
      </c>
      <c r="D9" s="17">
        <v>200</v>
      </c>
      <c r="E9" s="18">
        <v>0</v>
      </c>
      <c r="F9" s="16" t="s">
        <v>163</v>
      </c>
      <c r="G9" s="14" t="str">
        <f>IF(AND(COUNT(C9:E9)=3,MIN(C9:E9)&gt;=0,OR(B9="Staff",B9="Management",B9="Specialist"),LEN(TRIM(F9))&gt;0,COUNT(Settings!$B$9:$B$11)=3,MIN(Settings!$B$9:$B$11)&gt;=0),"Ready","Complete blue inputs")</f>
        <v>Ready</v>
      </c>
      <c r="H9" s="14">
        <f t="shared" si="0"/>
        <v>2296.6666666666665</v>
      </c>
      <c r="I9" s="14">
        <f t="shared" si="1"/>
        <v>200</v>
      </c>
      <c r="J9" s="14">
        <f>IF(G9="Ready",C9*IF(B9="Staff",Settings!$B$9,IF(B9="Management",Settings!$B$10,Settings!$B$11))+D9*Settings!$B$11,"")</f>
        <v>152800</v>
      </c>
      <c r="K9" s="14">
        <f t="shared" si="2"/>
        <v>152800</v>
      </c>
    </row>
    <row r="10" spans="1:11" ht="43.9" customHeight="1">
      <c r="A10" s="15" t="s">
        <v>82</v>
      </c>
      <c r="B10" s="16" t="s">
        <v>164</v>
      </c>
      <c r="C10" s="17">
        <v>800</v>
      </c>
      <c r="D10" s="17">
        <v>160</v>
      </c>
      <c r="E10" s="18">
        <v>0</v>
      </c>
      <c r="F10" s="16" t="s">
        <v>165</v>
      </c>
      <c r="G10" s="14" t="str">
        <f>IF(AND(COUNT(C10:E10)=3,MIN(C10:E10)&gt;=0,OR(B10="Staff",B10="Management",B10="Specialist"),LEN(TRIM(F10))&gt;0,COUNT(Settings!$B$9:$B$11)=3,MIN(Settings!$B$9:$B$11)&gt;=0),"Ready","Complete blue inputs")</f>
        <v>Ready</v>
      </c>
      <c r="H10" s="14">
        <f t="shared" si="0"/>
        <v>800</v>
      </c>
      <c r="I10" s="14">
        <f t="shared" si="1"/>
        <v>160</v>
      </c>
      <c r="J10" s="14">
        <f>IF(G10="Ready",C10*IF(B10="Staff",Settings!$B$9,IF(B10="Management",Settings!$B$10,Settings!$B$11))+D10*Settings!$B$11,"")</f>
        <v>84000</v>
      </c>
      <c r="K10" s="14">
        <f t="shared" si="2"/>
        <v>84000</v>
      </c>
    </row>
    <row r="11" spans="1:11" ht="43.9" customHeight="1">
      <c r="A11" s="15" t="s">
        <v>85</v>
      </c>
      <c r="B11" s="16" t="s">
        <v>166</v>
      </c>
      <c r="C11" s="17">
        <v>500</v>
      </c>
      <c r="D11" s="17">
        <v>300</v>
      </c>
      <c r="E11" s="18">
        <v>0</v>
      </c>
      <c r="F11" s="16" t="s">
        <v>167</v>
      </c>
      <c r="G11" s="14" t="str">
        <f>IF(AND(COUNT(C11:E11)=3,MIN(C11:E11)&gt;=0,OR(B11="Staff",B11="Management",B11="Specialist"),LEN(TRIM(F11))&gt;0,COUNT(Settings!$B$9:$B$11)=3,MIN(Settings!$B$9:$B$11)&gt;=0),"Ready","Complete blue inputs")</f>
        <v>Ready</v>
      </c>
      <c r="H11" s="14">
        <f t="shared" si="0"/>
        <v>0</v>
      </c>
      <c r="I11" s="14">
        <f t="shared" si="1"/>
        <v>800</v>
      </c>
      <c r="J11" s="14">
        <f>IF(G11="Ready",C11*IF(B11="Staff",Settings!$B$9,IF(B11="Management",Settings!$B$10,Settings!$B$11))+D11*Settings!$B$11,"")</f>
        <v>60000</v>
      </c>
      <c r="K11" s="14">
        <f t="shared" si="2"/>
        <v>60000</v>
      </c>
    </row>
    <row r="12" spans="1:11" ht="43.9" customHeight="1">
      <c r="A12" s="15" t="s">
        <v>88</v>
      </c>
      <c r="B12" s="16" t="s">
        <v>166</v>
      </c>
      <c r="C12" s="17">
        <v>1000</v>
      </c>
      <c r="D12" s="17">
        <v>400</v>
      </c>
      <c r="E12" s="18">
        <v>0</v>
      </c>
      <c r="F12" s="16" t="s">
        <v>168</v>
      </c>
      <c r="G12" s="14" t="str">
        <f>IF(AND(COUNT(C12:E12)=3,MIN(C12:E12)&gt;=0,OR(B12="Staff",B12="Management",B12="Specialist"),LEN(TRIM(F12))&gt;0,COUNT(Settings!$B$9:$B$11)=3,MIN(Settings!$B$9:$B$11)&gt;=0),"Ready","Complete blue inputs")</f>
        <v>Ready</v>
      </c>
      <c r="H12" s="14">
        <f t="shared" si="0"/>
        <v>0</v>
      </c>
      <c r="I12" s="14">
        <f t="shared" si="1"/>
        <v>1400</v>
      </c>
      <c r="J12" s="14">
        <f>IF(G12="Ready",C12*IF(B12="Staff",Settings!$B$9,IF(B12="Management",Settings!$B$10,Settings!$B$11))+D12*Settings!$B$11,"")</f>
        <v>105000</v>
      </c>
      <c r="K12" s="14">
        <f t="shared" si="2"/>
        <v>105000</v>
      </c>
    </row>
    <row r="13" spans="1:11" ht="43.9" customHeight="1">
      <c r="A13" s="15" t="s">
        <v>91</v>
      </c>
      <c r="B13" s="16" t="s">
        <v>160</v>
      </c>
      <c r="C13" s="17">
        <v>3300</v>
      </c>
      <c r="D13" s="17">
        <v>100</v>
      </c>
      <c r="E13" s="18">
        <v>0</v>
      </c>
      <c r="F13" s="16" t="s">
        <v>169</v>
      </c>
      <c r="G13" s="14" t="str">
        <f>IF(AND(COUNT(C13:E13)=3,MIN(C13:E13)&gt;=0,OR(B13="Staff",B13="Management",B13="Specialist"),LEN(TRIM(F13))&gt;0,COUNT(Settings!$B$9:$B$11)=3,MIN(Settings!$B$9:$B$11)&gt;=0),"Ready","Complete blue inputs")</f>
        <v>Ready</v>
      </c>
      <c r="H13" s="14">
        <f t="shared" si="0"/>
        <v>3300</v>
      </c>
      <c r="I13" s="14">
        <f t="shared" si="1"/>
        <v>100</v>
      </c>
      <c r="J13" s="14">
        <f>IF(G13="Ready",C13*IF(B13="Staff",Settings!$B$9,IF(B13="Management",Settings!$B$10,Settings!$B$11))+D13*Settings!$B$11,"")</f>
        <v>205500</v>
      </c>
      <c r="K13" s="14">
        <f t="shared" si="2"/>
        <v>205500</v>
      </c>
    </row>
    <row r="14" spans="1:11" ht="43.9" customHeight="1">
      <c r="A14" s="15" t="s">
        <v>94</v>
      </c>
      <c r="B14" s="16" t="s">
        <v>164</v>
      </c>
      <c r="C14" s="17">
        <v>600</v>
      </c>
      <c r="D14" s="17">
        <v>120</v>
      </c>
      <c r="E14" s="18">
        <v>0</v>
      </c>
      <c r="F14" s="16" t="s">
        <v>170</v>
      </c>
      <c r="G14" s="14" t="str">
        <f>IF(AND(COUNT(C14:E14)=3,MIN(C14:E14)&gt;=0,OR(B14="Staff",B14="Management",B14="Specialist"),LEN(TRIM(F14))&gt;0,COUNT(Settings!$B$9:$B$11)=3,MIN(Settings!$B$9:$B$11)&gt;=0),"Ready","Complete blue inputs")</f>
        <v>Ready</v>
      </c>
      <c r="H14" s="14">
        <f t="shared" si="0"/>
        <v>600</v>
      </c>
      <c r="I14" s="14">
        <f t="shared" si="1"/>
        <v>120</v>
      </c>
      <c r="J14" s="14">
        <f>IF(G14="Ready",C14*IF(B14="Staff",Settings!$B$9,IF(B14="Management",Settings!$B$10,Settings!$B$11))+D14*Settings!$B$11,"")</f>
        <v>63000</v>
      </c>
      <c r="K14" s="14">
        <f t="shared" si="2"/>
        <v>63000</v>
      </c>
    </row>
    <row r="15" spans="1:11" ht="43.9" customHeight="1">
      <c r="A15" s="15" t="s">
        <v>97</v>
      </c>
      <c r="B15" s="16" t="s">
        <v>160</v>
      </c>
      <c r="C15" s="17">
        <v>1100</v>
      </c>
      <c r="D15" s="17">
        <v>80</v>
      </c>
      <c r="E15" s="18">
        <v>4000</v>
      </c>
      <c r="F15" s="16" t="s">
        <v>171</v>
      </c>
      <c r="G15" s="14" t="str">
        <f>IF(AND(COUNT(C15:E15)=3,MIN(C15:E15)&gt;=0,OR(B15="Staff",B15="Management",B15="Specialist"),LEN(TRIM(F15))&gt;0,COUNT(Settings!$B$9:$B$11)=3,MIN(Settings!$B$9:$B$11)&gt;=0),"Ready","Complete blue inputs")</f>
        <v>Ready</v>
      </c>
      <c r="H15" s="14">
        <f t="shared" si="0"/>
        <v>1100</v>
      </c>
      <c r="I15" s="14">
        <f t="shared" si="1"/>
        <v>80</v>
      </c>
      <c r="J15" s="14">
        <f>IF(G15="Ready",C15*IF(B15="Staff",Settings!$B$9,IF(B15="Management",Settings!$B$10,Settings!$B$11))+D15*Settings!$B$11,"")</f>
        <v>72000</v>
      </c>
      <c r="K15" s="14">
        <f t="shared" si="2"/>
        <v>76000</v>
      </c>
    </row>
    <row r="16" spans="1:11" ht="43.9" customHeight="1">
      <c r="A16" s="15" t="s">
        <v>102</v>
      </c>
      <c r="B16" s="16" t="s">
        <v>166</v>
      </c>
      <c r="C16" s="17">
        <v>0</v>
      </c>
      <c r="D16" s="17">
        <v>300</v>
      </c>
      <c r="E16" s="18">
        <v>90000</v>
      </c>
      <c r="F16" s="16" t="s">
        <v>172</v>
      </c>
      <c r="G16" s="14" t="str">
        <f>IF(AND(COUNT(C16:E16)=3,MIN(C16:E16)&gt;=0,OR(B16="Staff",B16="Management",B16="Specialist"),LEN(TRIM(F16))&gt;0,COUNT(Settings!$B$9:$B$11)=3,MIN(Settings!$B$9:$B$11)&gt;=0),"Ready","Complete blue inputs")</f>
        <v>Ready</v>
      </c>
      <c r="H16" s="14">
        <f t="shared" si="0"/>
        <v>0</v>
      </c>
      <c r="I16" s="14">
        <f t="shared" si="1"/>
        <v>300</v>
      </c>
      <c r="J16" s="14">
        <f>IF(G16="Ready",C16*IF(B16="Staff",Settings!$B$9,IF(B16="Management",Settings!$B$10,Settings!$B$11))+D16*Settings!$B$11,"")</f>
        <v>22500</v>
      </c>
      <c r="K16" s="14">
        <f t="shared" si="2"/>
        <v>112500</v>
      </c>
    </row>
    <row r="17" spans="1:11" ht="43.9" customHeight="1">
      <c r="A17" s="15" t="s">
        <v>105</v>
      </c>
      <c r="B17" s="16" t="s">
        <v>166</v>
      </c>
      <c r="C17" s="17">
        <v>0</v>
      </c>
      <c r="D17" s="17">
        <v>120</v>
      </c>
      <c r="E17" s="18">
        <v>0</v>
      </c>
      <c r="F17" s="16" t="s">
        <v>173</v>
      </c>
      <c r="G17" s="14" t="str">
        <f>IF(AND(COUNT(C17:E17)=3,MIN(C17:E17)&gt;=0,OR(B17="Staff",B17="Management",B17="Specialist"),LEN(TRIM(F17))&gt;0,COUNT(Settings!$B$9:$B$11)=3,MIN(Settings!$B$9:$B$11)&gt;=0),"Ready","Complete blue inputs")</f>
        <v>Ready</v>
      </c>
      <c r="H17" s="14">
        <f t="shared" si="0"/>
        <v>0</v>
      </c>
      <c r="I17" s="14">
        <f t="shared" si="1"/>
        <v>120</v>
      </c>
      <c r="J17" s="14">
        <f>IF(G17="Ready",C17*IF(B17="Staff",Settings!$B$9,IF(B17="Management",Settings!$B$10,Settings!$B$11))+D17*Settings!$B$11,"")</f>
        <v>9000</v>
      </c>
      <c r="K17" s="14">
        <f t="shared" si="2"/>
        <v>9000</v>
      </c>
    </row>
    <row r="18" spans="1:11" ht="43.9" customHeight="1">
      <c r="A18" s="15" t="s">
        <v>108</v>
      </c>
      <c r="B18" s="16"/>
      <c r="C18" s="17"/>
      <c r="D18" s="17"/>
      <c r="E18" s="18"/>
      <c r="F18" s="16"/>
      <c r="G18" s="14" t="str">
        <f>IF(AND(COUNT(C18:E18)=3,MIN(C18:E18)&gt;=0,OR(B18="Staff",B18="Management",B18="Specialist"),LEN(TRIM(F18))&gt;0,COUNT(Settings!$B$9:$B$11)=3,MIN(Settings!$B$9:$B$11)&gt;=0),"Ready","Complete blue inputs")</f>
        <v>Complete blue inputs</v>
      </c>
      <c r="H18" s="14" t="str">
        <f t="shared" si="0"/>
        <v/>
      </c>
      <c r="I18" s="14" t="str">
        <f t="shared" si="1"/>
        <v/>
      </c>
      <c r="J18" s="14" t="str">
        <f>IF(G18="Ready",C18*IF(B18="Staff",Settings!$B$9,IF(B18="Management",Settings!$B$10,Settings!$B$11))+D18*Settings!$B$11,"")</f>
        <v/>
      </c>
      <c r="K18" s="14" t="str">
        <f t="shared" si="2"/>
        <v/>
      </c>
    </row>
    <row r="19" spans="1:11" ht="43.9" customHeight="1">
      <c r="A19" s="15" t="s">
        <v>110</v>
      </c>
      <c r="B19" s="16"/>
      <c r="C19" s="17"/>
      <c r="D19" s="17"/>
      <c r="E19" s="18"/>
      <c r="F19" s="16"/>
      <c r="G19" s="14" t="str">
        <f>IF(AND(COUNT(C19:E19)=3,MIN(C19:E19)&gt;=0,OR(B19="Staff",B19="Management",B19="Specialist"),LEN(TRIM(F19))&gt;0,COUNT(Settings!$B$9:$B$11)=3,MIN(Settings!$B$9:$B$11)&gt;=0),"Ready","Complete blue inputs")</f>
        <v>Complete blue inputs</v>
      </c>
      <c r="H19" s="14" t="str">
        <f t="shared" si="0"/>
        <v/>
      </c>
      <c r="I19" s="14" t="str">
        <f t="shared" si="1"/>
        <v/>
      </c>
      <c r="J19" s="14" t="str">
        <f>IF(G19="Ready",C19*IF(B19="Staff",Settings!$B$9,IF(B19="Management",Settings!$B$10,Settings!$B$11))+D19*Settings!$B$11,"")</f>
        <v/>
      </c>
      <c r="K19" s="14" t="str">
        <f t="shared" si="2"/>
        <v/>
      </c>
    </row>
    <row r="20" spans="1:11" ht="43.9" customHeight="1">
      <c r="A20" s="15" t="s">
        <v>111</v>
      </c>
      <c r="B20" s="16"/>
      <c r="C20" s="17"/>
      <c r="D20" s="17"/>
      <c r="E20" s="18"/>
      <c r="F20" s="16"/>
      <c r="G20" s="14" t="str">
        <f>IF(AND(COUNT(C20:E20)=3,MIN(C20:E20)&gt;=0,OR(B20="Staff",B20="Management",B20="Specialist"),LEN(TRIM(F20))&gt;0,COUNT(Settings!$B$9:$B$11)=3,MIN(Settings!$B$9:$B$11)&gt;=0),"Ready","Complete blue inputs")</f>
        <v>Complete blue inputs</v>
      </c>
      <c r="H20" s="14" t="str">
        <f t="shared" si="0"/>
        <v/>
      </c>
      <c r="I20" s="14" t="str">
        <f t="shared" si="1"/>
        <v/>
      </c>
      <c r="J20" s="14" t="str">
        <f>IF(G20="Ready",C20*IF(B20="Staff",Settings!$B$9,IF(B20="Management",Settings!$B$10,Settings!$B$11))+D20*Settings!$B$11,"")</f>
        <v/>
      </c>
      <c r="K20" s="14" t="str">
        <f t="shared" si="2"/>
        <v/>
      </c>
    </row>
    <row r="21" spans="1:11" ht="43.9" customHeight="1">
      <c r="A21" s="15" t="s">
        <v>112</v>
      </c>
      <c r="B21" s="16"/>
      <c r="C21" s="17"/>
      <c r="D21" s="17"/>
      <c r="E21" s="18"/>
      <c r="F21" s="16"/>
      <c r="G21" s="14" t="str">
        <f>IF(AND(COUNT(C21:E21)=3,MIN(C21:E21)&gt;=0,OR(B21="Staff",B21="Management",B21="Specialist"),LEN(TRIM(F21))&gt;0,COUNT(Settings!$B$9:$B$11)=3,MIN(Settings!$B$9:$B$11)&gt;=0),"Ready","Complete blue inputs")</f>
        <v>Complete blue inputs</v>
      </c>
      <c r="H21" s="14" t="str">
        <f t="shared" si="0"/>
        <v/>
      </c>
      <c r="I21" s="14" t="str">
        <f t="shared" si="1"/>
        <v/>
      </c>
      <c r="J21" s="14" t="str">
        <f>IF(G21="Ready",C21*IF(B21="Staff",Settings!$B$9,IF(B21="Management",Settings!$B$10,Settings!$B$11))+D21*Settings!$B$11,"")</f>
        <v/>
      </c>
      <c r="K21" s="14" t="str">
        <f t="shared" si="2"/>
        <v/>
      </c>
    </row>
    <row r="22" spans="1:11" ht="43.9" customHeight="1">
      <c r="A22" s="15" t="s">
        <v>113</v>
      </c>
      <c r="B22" s="16"/>
      <c r="C22" s="17"/>
      <c r="D22" s="17"/>
      <c r="E22" s="18"/>
      <c r="F22" s="16"/>
      <c r="G22" s="14" t="str">
        <f>IF(AND(COUNT(C22:E22)=3,MIN(C22:E22)&gt;=0,OR(B22="Staff",B22="Management",B22="Specialist"),LEN(TRIM(F22))&gt;0,COUNT(Settings!$B$9:$B$11)=3,MIN(Settings!$B$9:$B$11)&gt;=0),"Ready","Complete blue inputs")</f>
        <v>Complete blue inputs</v>
      </c>
      <c r="H22" s="14" t="str">
        <f t="shared" si="0"/>
        <v/>
      </c>
      <c r="I22" s="14" t="str">
        <f t="shared" si="1"/>
        <v/>
      </c>
      <c r="J22" s="14" t="str">
        <f>IF(G22="Ready",C22*IF(B22="Staff",Settings!$B$9,IF(B22="Management",Settings!$B$10,Settings!$B$11))+D22*Settings!$B$11,"")</f>
        <v/>
      </c>
      <c r="K22" s="14" t="str">
        <f t="shared" si="2"/>
        <v/>
      </c>
    </row>
    <row r="23" spans="1:11" ht="43.9" customHeight="1">
      <c r="A23" s="15" t="s">
        <v>114</v>
      </c>
      <c r="B23" s="16"/>
      <c r="C23" s="17"/>
      <c r="D23" s="17"/>
      <c r="E23" s="18"/>
      <c r="F23" s="16"/>
      <c r="G23" s="14" t="str">
        <f>IF(AND(COUNT(C23:E23)=3,MIN(C23:E23)&gt;=0,OR(B23="Staff",B23="Management",B23="Specialist"),LEN(TRIM(F23))&gt;0,COUNT(Settings!$B$9:$B$11)=3,MIN(Settings!$B$9:$B$11)&gt;=0),"Ready","Complete blue inputs")</f>
        <v>Complete blue inputs</v>
      </c>
      <c r="H23" s="14" t="str">
        <f t="shared" si="0"/>
        <v/>
      </c>
      <c r="I23" s="14" t="str">
        <f t="shared" si="1"/>
        <v/>
      </c>
      <c r="J23" s="14" t="str">
        <f>IF(G23="Ready",C23*IF(B23="Staff",Settings!$B$9,IF(B23="Management",Settings!$B$10,Settings!$B$11))+D23*Settings!$B$11,"")</f>
        <v/>
      </c>
      <c r="K23" s="14" t="str">
        <f t="shared" si="2"/>
        <v/>
      </c>
    </row>
    <row r="24" spans="1:11" ht="43.9" customHeight="1">
      <c r="A24" s="15" t="s">
        <v>115</v>
      </c>
      <c r="B24" s="16"/>
      <c r="C24" s="17"/>
      <c r="D24" s="17"/>
      <c r="E24" s="18"/>
      <c r="F24" s="16"/>
      <c r="G24" s="14" t="str">
        <f>IF(AND(COUNT(C24:E24)=3,MIN(C24:E24)&gt;=0,OR(B24="Staff",B24="Management",B24="Specialist"),LEN(TRIM(F24))&gt;0,COUNT(Settings!$B$9:$B$11)=3,MIN(Settings!$B$9:$B$11)&gt;=0),"Ready","Complete blue inputs")</f>
        <v>Complete blue inputs</v>
      </c>
      <c r="H24" s="14" t="str">
        <f t="shared" si="0"/>
        <v/>
      </c>
      <c r="I24" s="14" t="str">
        <f t="shared" si="1"/>
        <v/>
      </c>
      <c r="J24" s="14" t="str">
        <f>IF(G24="Ready",C24*IF(B24="Staff",Settings!$B$9,IF(B24="Management",Settings!$B$10,Settings!$B$11))+D24*Settings!$B$11,"")</f>
        <v/>
      </c>
      <c r="K24" s="14" t="str">
        <f t="shared" si="2"/>
        <v/>
      </c>
    </row>
    <row r="25" spans="1:11" ht="43.9" customHeight="1">
      <c r="A25" s="15" t="s">
        <v>116</v>
      </c>
      <c r="B25" s="16"/>
      <c r="C25" s="17"/>
      <c r="D25" s="17"/>
      <c r="E25" s="18"/>
      <c r="F25" s="16"/>
      <c r="G25" s="14" t="str">
        <f>IF(AND(COUNT(C25:E25)=3,MIN(C25:E25)&gt;=0,OR(B25="Staff",B25="Management",B25="Specialist"),LEN(TRIM(F25))&gt;0,COUNT(Settings!$B$9:$B$11)=3,MIN(Settings!$B$9:$B$11)&gt;=0),"Ready","Complete blue inputs")</f>
        <v>Complete blue inputs</v>
      </c>
      <c r="H25" s="14" t="str">
        <f t="shared" si="0"/>
        <v/>
      </c>
      <c r="I25" s="14" t="str">
        <f t="shared" si="1"/>
        <v/>
      </c>
      <c r="J25" s="14" t="str">
        <f>IF(G25="Ready",C25*IF(B25="Staff",Settings!$B$9,IF(B25="Management",Settings!$B$10,Settings!$B$11))+D25*Settings!$B$11,"")</f>
        <v/>
      </c>
      <c r="K25" s="14" t="str">
        <f t="shared" si="2"/>
        <v/>
      </c>
    </row>
    <row r="26" spans="1:11" ht="43.9" customHeight="1">
      <c r="A26" s="15" t="s">
        <v>117</v>
      </c>
      <c r="B26" s="16"/>
      <c r="C26" s="17"/>
      <c r="D26" s="17"/>
      <c r="E26" s="18"/>
      <c r="F26" s="16"/>
      <c r="G26" s="14" t="str">
        <f>IF(AND(COUNT(C26:E26)=3,MIN(C26:E26)&gt;=0,OR(B26="Staff",B26="Management",B26="Specialist"),LEN(TRIM(F26))&gt;0,COUNT(Settings!$B$9:$B$11)=3,MIN(Settings!$B$9:$B$11)&gt;=0),"Ready","Complete blue inputs")</f>
        <v>Complete blue inputs</v>
      </c>
      <c r="H26" s="14" t="str">
        <f t="shared" si="0"/>
        <v/>
      </c>
      <c r="I26" s="14" t="str">
        <f t="shared" si="1"/>
        <v/>
      </c>
      <c r="J26" s="14" t="str">
        <f>IF(G26="Ready",C26*IF(B26="Staff",Settings!$B$9,IF(B26="Management",Settings!$B$10,Settings!$B$11))+D26*Settings!$B$11,"")</f>
        <v/>
      </c>
      <c r="K26" s="14" t="str">
        <f t="shared" si="2"/>
        <v/>
      </c>
    </row>
    <row r="27" spans="1:11" ht="43.9" customHeight="1">
      <c r="A27" s="15" t="s">
        <v>118</v>
      </c>
      <c r="B27" s="16"/>
      <c r="C27" s="17"/>
      <c r="D27" s="17"/>
      <c r="E27" s="18"/>
      <c r="F27" s="16"/>
      <c r="G27" s="14" t="str">
        <f>IF(AND(COUNT(C27:E27)=3,MIN(C27:E27)&gt;=0,OR(B27="Staff",B27="Management",B27="Specialist"),LEN(TRIM(F27))&gt;0,COUNT(Settings!$B$9:$B$11)=3,MIN(Settings!$B$9:$B$11)&gt;=0),"Ready","Complete blue inputs")</f>
        <v>Complete blue inputs</v>
      </c>
      <c r="H27" s="14" t="str">
        <f t="shared" si="0"/>
        <v/>
      </c>
      <c r="I27" s="14" t="str">
        <f t="shared" si="1"/>
        <v/>
      </c>
      <c r="J27" s="14" t="str">
        <f>IF(G27="Ready",C27*IF(B27="Staff",Settings!$B$9,IF(B27="Management",Settings!$B$10,Settings!$B$11))+D27*Settings!$B$11,"")</f>
        <v/>
      </c>
      <c r="K27" s="14" t="str">
        <f t="shared" si="2"/>
        <v/>
      </c>
    </row>
    <row r="28" spans="1:11" ht="43.9" customHeight="1">
      <c r="A28" s="15" t="s">
        <v>119</v>
      </c>
      <c r="B28" s="16"/>
      <c r="C28" s="17"/>
      <c r="D28" s="17"/>
      <c r="E28" s="18"/>
      <c r="F28" s="16"/>
      <c r="G28" s="14" t="str">
        <f>IF(AND(COUNT(C28:E28)=3,MIN(C28:E28)&gt;=0,OR(B28="Staff",B28="Management",B28="Specialist"),LEN(TRIM(F28))&gt;0,COUNT(Settings!$B$9:$B$11)=3,MIN(Settings!$B$9:$B$11)&gt;=0),"Ready","Complete blue inputs")</f>
        <v>Complete blue inputs</v>
      </c>
      <c r="H28" s="14" t="str">
        <f t="shared" si="0"/>
        <v/>
      </c>
      <c r="I28" s="14" t="str">
        <f t="shared" si="1"/>
        <v/>
      </c>
      <c r="J28" s="14" t="str">
        <f>IF(G28="Ready",C28*IF(B28="Staff",Settings!$B$9,IF(B28="Management",Settings!$B$10,Settings!$B$11))+D28*Settings!$B$11,"")</f>
        <v/>
      </c>
      <c r="K28" s="14" t="str">
        <f t="shared" si="2"/>
        <v/>
      </c>
    </row>
    <row r="29" spans="1:11" ht="43.9" customHeight="1">
      <c r="A29" s="15" t="s">
        <v>120</v>
      </c>
      <c r="B29" s="16"/>
      <c r="C29" s="17"/>
      <c r="D29" s="17"/>
      <c r="E29" s="18"/>
      <c r="F29" s="16"/>
      <c r="G29" s="14" t="str">
        <f>IF(AND(COUNT(C29:E29)=3,MIN(C29:E29)&gt;=0,OR(B29="Staff",B29="Management",B29="Specialist"),LEN(TRIM(F29))&gt;0,COUNT(Settings!$B$9:$B$11)=3,MIN(Settings!$B$9:$B$11)&gt;=0),"Ready","Complete blue inputs")</f>
        <v>Complete blue inputs</v>
      </c>
      <c r="H29" s="14" t="str">
        <f t="shared" si="0"/>
        <v/>
      </c>
      <c r="I29" s="14" t="str">
        <f t="shared" si="1"/>
        <v/>
      </c>
      <c r="J29" s="14" t="str">
        <f>IF(G29="Ready",C29*IF(B29="Staff",Settings!$B$9,IF(B29="Management",Settings!$B$10,Settings!$B$11))+D29*Settings!$B$11,"")</f>
        <v/>
      </c>
      <c r="K29" s="14" t="str">
        <f t="shared" si="2"/>
        <v/>
      </c>
    </row>
    <row r="30" spans="1:11" ht="43.9" customHeight="1">
      <c r="A30" s="15" t="s">
        <v>121</v>
      </c>
      <c r="B30" s="16"/>
      <c r="C30" s="17"/>
      <c r="D30" s="17"/>
      <c r="E30" s="18"/>
      <c r="F30" s="16"/>
      <c r="G30" s="14" t="str">
        <f>IF(AND(COUNT(C30:E30)=3,MIN(C30:E30)&gt;=0,OR(B30="Staff",B30="Management",B30="Specialist"),LEN(TRIM(F30))&gt;0,COUNT(Settings!$B$9:$B$11)=3,MIN(Settings!$B$9:$B$11)&gt;=0),"Ready","Complete blue inputs")</f>
        <v>Complete blue inputs</v>
      </c>
      <c r="H30" s="14" t="str">
        <f t="shared" si="0"/>
        <v/>
      </c>
      <c r="I30" s="14" t="str">
        <f t="shared" si="1"/>
        <v/>
      </c>
      <c r="J30" s="14" t="str">
        <f>IF(G30="Ready",C30*IF(B30="Staff",Settings!$B$9,IF(B30="Management",Settings!$B$10,Settings!$B$11))+D30*Settings!$B$11,"")</f>
        <v/>
      </c>
      <c r="K30" s="14" t="str">
        <f t="shared" si="2"/>
        <v/>
      </c>
    </row>
    <row r="31" spans="1:11" ht="43.9" customHeight="1">
      <c r="A31" s="15" t="s">
        <v>122</v>
      </c>
      <c r="B31" s="16"/>
      <c r="C31" s="17"/>
      <c r="D31" s="17"/>
      <c r="E31" s="18"/>
      <c r="F31" s="16"/>
      <c r="G31" s="14" t="str">
        <f>IF(AND(COUNT(C31:E31)=3,MIN(C31:E31)&gt;=0,OR(B31="Staff",B31="Management",B31="Specialist"),LEN(TRIM(F31))&gt;0,COUNT(Settings!$B$9:$B$11)=3,MIN(Settings!$B$9:$B$11)&gt;=0),"Ready","Complete blue inputs")</f>
        <v>Complete blue inputs</v>
      </c>
      <c r="H31" s="14" t="str">
        <f t="shared" si="0"/>
        <v/>
      </c>
      <c r="I31" s="14" t="str">
        <f t="shared" si="1"/>
        <v/>
      </c>
      <c r="J31" s="14" t="str">
        <f>IF(G31="Ready",C31*IF(B31="Staff",Settings!$B$9,IF(B31="Management",Settings!$B$10,Settings!$B$11))+D31*Settings!$B$11,"")</f>
        <v/>
      </c>
      <c r="K31" s="14" t="str">
        <f t="shared" si="2"/>
        <v/>
      </c>
    </row>
    <row r="32" spans="1:11" ht="43.9" customHeight="1">
      <c r="A32" s="15" t="s">
        <v>123</v>
      </c>
      <c r="B32" s="16"/>
      <c r="C32" s="17"/>
      <c r="D32" s="17"/>
      <c r="E32" s="18"/>
      <c r="F32" s="16"/>
      <c r="G32" s="14" t="str">
        <f>IF(AND(COUNT(C32:E32)=3,MIN(C32:E32)&gt;=0,OR(B32="Staff",B32="Management",B32="Specialist"),LEN(TRIM(F32))&gt;0,COUNT(Settings!$B$9:$B$11)=3,MIN(Settings!$B$9:$B$11)&gt;=0),"Ready","Complete blue inputs")</f>
        <v>Complete blue inputs</v>
      </c>
      <c r="H32" s="14" t="str">
        <f t="shared" si="0"/>
        <v/>
      </c>
      <c r="I32" s="14" t="str">
        <f t="shared" si="1"/>
        <v/>
      </c>
      <c r="J32" s="14" t="str">
        <f>IF(G32="Ready",C32*IF(B32="Staff",Settings!$B$9,IF(B32="Management",Settings!$B$10,Settings!$B$11))+D32*Settings!$B$11,"")</f>
        <v/>
      </c>
      <c r="K32" s="14" t="str">
        <f t="shared" si="2"/>
        <v/>
      </c>
    </row>
    <row r="33" spans="1:11" ht="43.9" customHeight="1">
      <c r="A33" s="15" t="s">
        <v>124</v>
      </c>
      <c r="B33" s="16"/>
      <c r="C33" s="17"/>
      <c r="D33" s="17"/>
      <c r="E33" s="18"/>
      <c r="F33" s="16"/>
      <c r="G33" s="14" t="str">
        <f>IF(AND(COUNT(C33:E33)=3,MIN(C33:E33)&gt;=0,OR(B33="Staff",B33="Management",B33="Specialist"),LEN(TRIM(F33))&gt;0,COUNT(Settings!$B$9:$B$11)=3,MIN(Settings!$B$9:$B$11)&gt;=0),"Ready","Complete blue inputs")</f>
        <v>Complete blue inputs</v>
      </c>
      <c r="H33" s="14" t="str">
        <f t="shared" si="0"/>
        <v/>
      </c>
      <c r="I33" s="14" t="str">
        <f t="shared" si="1"/>
        <v/>
      </c>
      <c r="J33" s="14" t="str">
        <f>IF(G33="Ready",C33*IF(B33="Staff",Settings!$B$9,IF(B33="Management",Settings!$B$10,Settings!$B$11))+D33*Settings!$B$11,"")</f>
        <v/>
      </c>
      <c r="K33" s="14" t="str">
        <f t="shared" si="2"/>
        <v/>
      </c>
    </row>
    <row r="34" spans="1:11" ht="43.9" customHeight="1">
      <c r="A34" s="15" t="s">
        <v>125</v>
      </c>
      <c r="B34" s="16"/>
      <c r="C34" s="17"/>
      <c r="D34" s="17"/>
      <c r="E34" s="18"/>
      <c r="F34" s="16"/>
      <c r="G34" s="14" t="str">
        <f>IF(AND(COUNT(C34:E34)=3,MIN(C34:E34)&gt;=0,OR(B34="Staff",B34="Management",B34="Specialist"),LEN(TRIM(F34))&gt;0,COUNT(Settings!$B$9:$B$11)=3,MIN(Settings!$B$9:$B$11)&gt;=0),"Ready","Complete blue inputs")</f>
        <v>Complete blue inputs</v>
      </c>
      <c r="H34" s="14" t="str">
        <f t="shared" si="0"/>
        <v/>
      </c>
      <c r="I34" s="14" t="str">
        <f t="shared" si="1"/>
        <v/>
      </c>
      <c r="J34" s="14" t="str">
        <f>IF(G34="Ready",C34*IF(B34="Staff",Settings!$B$9,IF(B34="Management",Settings!$B$10,Settings!$B$11))+D34*Settings!$B$11,"")</f>
        <v/>
      </c>
      <c r="K34" s="14" t="str">
        <f t="shared" si="2"/>
        <v/>
      </c>
    </row>
    <row r="35" spans="1:11" ht="43.9" customHeight="1">
      <c r="A35" s="15" t="s">
        <v>126</v>
      </c>
      <c r="B35" s="16"/>
      <c r="C35" s="17"/>
      <c r="D35" s="17"/>
      <c r="E35" s="18"/>
      <c r="F35" s="16"/>
      <c r="G35" s="14" t="str">
        <f>IF(AND(COUNT(C35:E35)=3,MIN(C35:E35)&gt;=0,OR(B35="Staff",B35="Management",B35="Specialist"),LEN(TRIM(F35))&gt;0,COUNT(Settings!$B$9:$B$11)=3,MIN(Settings!$B$9:$B$11)&gt;=0),"Ready","Complete blue inputs")</f>
        <v>Complete blue inputs</v>
      </c>
      <c r="H35" s="14" t="str">
        <f t="shared" si="0"/>
        <v/>
      </c>
      <c r="I35" s="14" t="str">
        <f t="shared" si="1"/>
        <v/>
      </c>
      <c r="J35" s="14" t="str">
        <f>IF(G35="Ready",C35*IF(B35="Staff",Settings!$B$9,IF(B35="Management",Settings!$B$10,Settings!$B$11))+D35*Settings!$B$11,"")</f>
        <v/>
      </c>
      <c r="K35" s="14" t="str">
        <f t="shared" si="2"/>
        <v/>
      </c>
    </row>
    <row r="36" spans="1:11" ht="43.9" customHeight="1">
      <c r="A36" s="15" t="s">
        <v>127</v>
      </c>
      <c r="B36" s="16"/>
      <c r="C36" s="17"/>
      <c r="D36" s="17"/>
      <c r="E36" s="18"/>
      <c r="F36" s="16"/>
      <c r="G36" s="14" t="str">
        <f>IF(AND(COUNT(C36:E36)=3,MIN(C36:E36)&gt;=0,OR(B36="Staff",B36="Management",B36="Specialist"),LEN(TRIM(F36))&gt;0,COUNT(Settings!$B$9:$B$11)=3,MIN(Settings!$B$9:$B$11)&gt;=0),"Ready","Complete blue inputs")</f>
        <v>Complete blue inputs</v>
      </c>
      <c r="H36" s="14" t="str">
        <f t="shared" si="0"/>
        <v/>
      </c>
      <c r="I36" s="14" t="str">
        <f t="shared" si="1"/>
        <v/>
      </c>
      <c r="J36" s="14" t="str">
        <f>IF(G36="Ready",C36*IF(B36="Staff",Settings!$B$9,IF(B36="Management",Settings!$B$10,Settings!$B$11))+D36*Settings!$B$11,"")</f>
        <v/>
      </c>
      <c r="K36" s="14" t="str">
        <f t="shared" si="2"/>
        <v/>
      </c>
    </row>
    <row r="37" spans="1:11" ht="43.9" customHeight="1">
      <c r="A37" s="15" t="s">
        <v>128</v>
      </c>
      <c r="B37" s="16"/>
      <c r="C37" s="17"/>
      <c r="D37" s="17"/>
      <c r="E37" s="18"/>
      <c r="F37" s="16"/>
      <c r="G37" s="14" t="str">
        <f>IF(AND(COUNT(C37:E37)=3,MIN(C37:E37)&gt;=0,OR(B37="Staff",B37="Management",B37="Specialist"),LEN(TRIM(F37))&gt;0,COUNT(Settings!$B$9:$B$11)=3,MIN(Settings!$B$9:$B$11)&gt;=0),"Ready","Complete blue inputs")</f>
        <v>Complete blue inputs</v>
      </c>
      <c r="H37" s="14" t="str">
        <f t="shared" si="0"/>
        <v/>
      </c>
      <c r="I37" s="14" t="str">
        <f t="shared" si="1"/>
        <v/>
      </c>
      <c r="J37" s="14" t="str">
        <f>IF(G37="Ready",C37*IF(B37="Staff",Settings!$B$9,IF(B37="Management",Settings!$B$10,Settings!$B$11))+D37*Settings!$B$11,"")</f>
        <v/>
      </c>
      <c r="K37" s="14" t="str">
        <f t="shared" si="2"/>
        <v/>
      </c>
    </row>
    <row r="38" spans="1:11" ht="43.9" customHeight="1">
      <c r="A38" s="15" t="s">
        <v>129</v>
      </c>
      <c r="B38" s="16"/>
      <c r="C38" s="17"/>
      <c r="D38" s="17"/>
      <c r="E38" s="18"/>
      <c r="F38" s="16"/>
      <c r="G38" s="14" t="str">
        <f>IF(AND(COUNT(C38:E38)=3,MIN(C38:E38)&gt;=0,OR(B38="Staff",B38="Management",B38="Specialist"),LEN(TRIM(F38))&gt;0,COUNT(Settings!$B$9:$B$11)=3,MIN(Settings!$B$9:$B$11)&gt;=0),"Ready","Complete blue inputs")</f>
        <v>Complete blue inputs</v>
      </c>
      <c r="H38" s="14" t="str">
        <f t="shared" si="0"/>
        <v/>
      </c>
      <c r="I38" s="14" t="str">
        <f t="shared" si="1"/>
        <v/>
      </c>
      <c r="J38" s="14" t="str">
        <f>IF(G38="Ready",C38*IF(B38="Staff",Settings!$B$9,IF(B38="Management",Settings!$B$10,Settings!$B$11))+D38*Settings!$B$11,"")</f>
        <v/>
      </c>
      <c r="K38" s="14" t="str">
        <f t="shared" si="2"/>
        <v/>
      </c>
    </row>
    <row r="39" spans="1:11" ht="43.9" customHeight="1">
      <c r="A39" s="15" t="s">
        <v>130</v>
      </c>
      <c r="B39" s="16"/>
      <c r="C39" s="17"/>
      <c r="D39" s="17"/>
      <c r="E39" s="18"/>
      <c r="F39" s="16"/>
      <c r="G39" s="14" t="str">
        <f>IF(AND(COUNT(C39:E39)=3,MIN(C39:E39)&gt;=0,OR(B39="Staff",B39="Management",B39="Specialist"),LEN(TRIM(F39))&gt;0,COUNT(Settings!$B$9:$B$11)=3,MIN(Settings!$B$9:$B$11)&gt;=0),"Ready","Complete blue inputs")</f>
        <v>Complete blue inputs</v>
      </c>
      <c r="H39" s="14" t="str">
        <f t="shared" ref="H39:H56" si="3">IF(G39="Ready",IF(B39="Specialist",0,C39),"")</f>
        <v/>
      </c>
      <c r="I39" s="14" t="str">
        <f t="shared" ref="I39:I56" si="4">IF(G39="Ready",D39+IF(B39="Specialist",C39,0),"")</f>
        <v/>
      </c>
      <c r="J39" s="14" t="str">
        <f>IF(G39="Ready",C39*IF(B39="Staff",Settings!$B$9,IF(B39="Management",Settings!$B$10,Settings!$B$11))+D39*Settings!$B$11,"")</f>
        <v/>
      </c>
      <c r="K39" s="14" t="str">
        <f t="shared" ref="K39:K56" si="5">IF(G39="Ready",J39+E39,"")</f>
        <v/>
      </c>
    </row>
    <row r="40" spans="1:11" ht="43.9" customHeight="1">
      <c r="A40" s="15" t="s">
        <v>131</v>
      </c>
      <c r="B40" s="16"/>
      <c r="C40" s="17"/>
      <c r="D40" s="17"/>
      <c r="E40" s="18"/>
      <c r="F40" s="16"/>
      <c r="G40" s="14" t="str">
        <f>IF(AND(COUNT(C40:E40)=3,MIN(C40:E40)&gt;=0,OR(B40="Staff",B40="Management",B40="Specialist"),LEN(TRIM(F40))&gt;0,COUNT(Settings!$B$9:$B$11)=3,MIN(Settings!$B$9:$B$11)&gt;=0),"Ready","Complete blue inputs")</f>
        <v>Complete blue inputs</v>
      </c>
      <c r="H40" s="14" t="str">
        <f t="shared" si="3"/>
        <v/>
      </c>
      <c r="I40" s="14" t="str">
        <f t="shared" si="4"/>
        <v/>
      </c>
      <c r="J40" s="14" t="str">
        <f>IF(G40="Ready",C40*IF(B40="Staff",Settings!$B$9,IF(B40="Management",Settings!$B$10,Settings!$B$11))+D40*Settings!$B$11,"")</f>
        <v/>
      </c>
      <c r="K40" s="14" t="str">
        <f t="shared" si="5"/>
        <v/>
      </c>
    </row>
    <row r="41" spans="1:11" ht="43.9" customHeight="1">
      <c r="A41" s="15" t="s">
        <v>132</v>
      </c>
      <c r="B41" s="16"/>
      <c r="C41" s="17"/>
      <c r="D41" s="17"/>
      <c r="E41" s="18"/>
      <c r="F41" s="16"/>
      <c r="G41" s="14" t="str">
        <f>IF(AND(COUNT(C41:E41)=3,MIN(C41:E41)&gt;=0,OR(B41="Staff",B41="Management",B41="Specialist"),LEN(TRIM(F41))&gt;0,COUNT(Settings!$B$9:$B$11)=3,MIN(Settings!$B$9:$B$11)&gt;=0),"Ready","Complete blue inputs")</f>
        <v>Complete blue inputs</v>
      </c>
      <c r="H41" s="14" t="str">
        <f t="shared" si="3"/>
        <v/>
      </c>
      <c r="I41" s="14" t="str">
        <f t="shared" si="4"/>
        <v/>
      </c>
      <c r="J41" s="14" t="str">
        <f>IF(G41="Ready",C41*IF(B41="Staff",Settings!$B$9,IF(B41="Management",Settings!$B$10,Settings!$B$11))+D41*Settings!$B$11,"")</f>
        <v/>
      </c>
      <c r="K41" s="14" t="str">
        <f t="shared" si="5"/>
        <v/>
      </c>
    </row>
    <row r="42" spans="1:11" ht="43.9" customHeight="1">
      <c r="A42" s="15" t="s">
        <v>133</v>
      </c>
      <c r="B42" s="16"/>
      <c r="C42" s="17"/>
      <c r="D42" s="17"/>
      <c r="E42" s="18"/>
      <c r="F42" s="16"/>
      <c r="G42" s="14" t="str">
        <f>IF(AND(COUNT(C42:E42)=3,MIN(C42:E42)&gt;=0,OR(B42="Staff",B42="Management",B42="Specialist"),LEN(TRIM(F42))&gt;0,COUNT(Settings!$B$9:$B$11)=3,MIN(Settings!$B$9:$B$11)&gt;=0),"Ready","Complete blue inputs")</f>
        <v>Complete blue inputs</v>
      </c>
      <c r="H42" s="14" t="str">
        <f t="shared" si="3"/>
        <v/>
      </c>
      <c r="I42" s="14" t="str">
        <f t="shared" si="4"/>
        <v/>
      </c>
      <c r="J42" s="14" t="str">
        <f>IF(G42="Ready",C42*IF(B42="Staff",Settings!$B$9,IF(B42="Management",Settings!$B$10,Settings!$B$11))+D42*Settings!$B$11,"")</f>
        <v/>
      </c>
      <c r="K42" s="14" t="str">
        <f t="shared" si="5"/>
        <v/>
      </c>
    </row>
    <row r="43" spans="1:11" ht="43.9" customHeight="1">
      <c r="A43" s="15" t="s">
        <v>134</v>
      </c>
      <c r="B43" s="16"/>
      <c r="C43" s="17"/>
      <c r="D43" s="17"/>
      <c r="E43" s="18"/>
      <c r="F43" s="16"/>
      <c r="G43" s="14" t="str">
        <f>IF(AND(COUNT(C43:E43)=3,MIN(C43:E43)&gt;=0,OR(B43="Staff",B43="Management",B43="Specialist"),LEN(TRIM(F43))&gt;0,COUNT(Settings!$B$9:$B$11)=3,MIN(Settings!$B$9:$B$11)&gt;=0),"Ready","Complete blue inputs")</f>
        <v>Complete blue inputs</v>
      </c>
      <c r="H43" s="14" t="str">
        <f t="shared" si="3"/>
        <v/>
      </c>
      <c r="I43" s="14" t="str">
        <f t="shared" si="4"/>
        <v/>
      </c>
      <c r="J43" s="14" t="str">
        <f>IF(G43="Ready",C43*IF(B43="Staff",Settings!$B$9,IF(B43="Management",Settings!$B$10,Settings!$B$11))+D43*Settings!$B$11,"")</f>
        <v/>
      </c>
      <c r="K43" s="14" t="str">
        <f t="shared" si="5"/>
        <v/>
      </c>
    </row>
    <row r="44" spans="1:11" ht="43.9" customHeight="1">
      <c r="A44" s="15" t="s">
        <v>135</v>
      </c>
      <c r="B44" s="16"/>
      <c r="C44" s="17"/>
      <c r="D44" s="17"/>
      <c r="E44" s="18"/>
      <c r="F44" s="16"/>
      <c r="G44" s="14" t="str">
        <f>IF(AND(COUNT(C44:E44)=3,MIN(C44:E44)&gt;=0,OR(B44="Staff",B44="Management",B44="Specialist"),LEN(TRIM(F44))&gt;0,COUNT(Settings!$B$9:$B$11)=3,MIN(Settings!$B$9:$B$11)&gt;=0),"Ready","Complete blue inputs")</f>
        <v>Complete blue inputs</v>
      </c>
      <c r="H44" s="14" t="str">
        <f t="shared" si="3"/>
        <v/>
      </c>
      <c r="I44" s="14" t="str">
        <f t="shared" si="4"/>
        <v/>
      </c>
      <c r="J44" s="14" t="str">
        <f>IF(G44="Ready",C44*IF(B44="Staff",Settings!$B$9,IF(B44="Management",Settings!$B$10,Settings!$B$11))+D44*Settings!$B$11,"")</f>
        <v/>
      </c>
      <c r="K44" s="14" t="str">
        <f t="shared" si="5"/>
        <v/>
      </c>
    </row>
    <row r="45" spans="1:11" ht="43.9" customHeight="1">
      <c r="A45" s="15" t="s">
        <v>136</v>
      </c>
      <c r="B45" s="16"/>
      <c r="C45" s="17"/>
      <c r="D45" s="17"/>
      <c r="E45" s="18"/>
      <c r="F45" s="16"/>
      <c r="G45" s="14" t="str">
        <f>IF(AND(COUNT(C45:E45)=3,MIN(C45:E45)&gt;=0,OR(B45="Staff",B45="Management",B45="Specialist"),LEN(TRIM(F45))&gt;0,COUNT(Settings!$B$9:$B$11)=3,MIN(Settings!$B$9:$B$11)&gt;=0),"Ready","Complete blue inputs")</f>
        <v>Complete blue inputs</v>
      </c>
      <c r="H45" s="14" t="str">
        <f t="shared" si="3"/>
        <v/>
      </c>
      <c r="I45" s="14" t="str">
        <f t="shared" si="4"/>
        <v/>
      </c>
      <c r="J45" s="14" t="str">
        <f>IF(G45="Ready",C45*IF(B45="Staff",Settings!$B$9,IF(B45="Management",Settings!$B$10,Settings!$B$11))+D45*Settings!$B$11,"")</f>
        <v/>
      </c>
      <c r="K45" s="14" t="str">
        <f t="shared" si="5"/>
        <v/>
      </c>
    </row>
    <row r="46" spans="1:11" ht="43.9" customHeight="1">
      <c r="A46" s="15" t="s">
        <v>137</v>
      </c>
      <c r="B46" s="16"/>
      <c r="C46" s="17"/>
      <c r="D46" s="17"/>
      <c r="E46" s="18"/>
      <c r="F46" s="16"/>
      <c r="G46" s="14" t="str">
        <f>IF(AND(COUNT(C46:E46)=3,MIN(C46:E46)&gt;=0,OR(B46="Staff",B46="Management",B46="Specialist"),LEN(TRIM(F46))&gt;0,COUNT(Settings!$B$9:$B$11)=3,MIN(Settings!$B$9:$B$11)&gt;=0),"Ready","Complete blue inputs")</f>
        <v>Complete blue inputs</v>
      </c>
      <c r="H46" s="14" t="str">
        <f t="shared" si="3"/>
        <v/>
      </c>
      <c r="I46" s="14" t="str">
        <f t="shared" si="4"/>
        <v/>
      </c>
      <c r="J46" s="14" t="str">
        <f>IF(G46="Ready",C46*IF(B46="Staff",Settings!$B$9,IF(B46="Management",Settings!$B$10,Settings!$B$11))+D46*Settings!$B$11,"")</f>
        <v/>
      </c>
      <c r="K46" s="14" t="str">
        <f t="shared" si="5"/>
        <v/>
      </c>
    </row>
    <row r="47" spans="1:11" ht="43.9" customHeight="1">
      <c r="A47" s="15" t="s">
        <v>138</v>
      </c>
      <c r="B47" s="16"/>
      <c r="C47" s="17"/>
      <c r="D47" s="17"/>
      <c r="E47" s="18"/>
      <c r="F47" s="16"/>
      <c r="G47" s="14" t="str">
        <f>IF(AND(COUNT(C47:E47)=3,MIN(C47:E47)&gt;=0,OR(B47="Staff",B47="Management",B47="Specialist"),LEN(TRIM(F47))&gt;0,COUNT(Settings!$B$9:$B$11)=3,MIN(Settings!$B$9:$B$11)&gt;=0),"Ready","Complete blue inputs")</f>
        <v>Complete blue inputs</v>
      </c>
      <c r="H47" s="14" t="str">
        <f t="shared" si="3"/>
        <v/>
      </c>
      <c r="I47" s="14" t="str">
        <f t="shared" si="4"/>
        <v/>
      </c>
      <c r="J47" s="14" t="str">
        <f>IF(G47="Ready",C47*IF(B47="Staff",Settings!$B$9,IF(B47="Management",Settings!$B$10,Settings!$B$11))+D47*Settings!$B$11,"")</f>
        <v/>
      </c>
      <c r="K47" s="14" t="str">
        <f t="shared" si="5"/>
        <v/>
      </c>
    </row>
    <row r="48" spans="1:11" ht="43.9" customHeight="1">
      <c r="A48" s="15" t="s">
        <v>139</v>
      </c>
      <c r="B48" s="16"/>
      <c r="C48" s="17"/>
      <c r="D48" s="17"/>
      <c r="E48" s="18"/>
      <c r="F48" s="16"/>
      <c r="G48" s="14" t="str">
        <f>IF(AND(COUNT(C48:E48)=3,MIN(C48:E48)&gt;=0,OR(B48="Staff",B48="Management",B48="Specialist"),LEN(TRIM(F48))&gt;0,COUNT(Settings!$B$9:$B$11)=3,MIN(Settings!$B$9:$B$11)&gt;=0),"Ready","Complete blue inputs")</f>
        <v>Complete blue inputs</v>
      </c>
      <c r="H48" s="14" t="str">
        <f t="shared" si="3"/>
        <v/>
      </c>
      <c r="I48" s="14" t="str">
        <f t="shared" si="4"/>
        <v/>
      </c>
      <c r="J48" s="14" t="str">
        <f>IF(G48="Ready",C48*IF(B48="Staff",Settings!$B$9,IF(B48="Management",Settings!$B$10,Settings!$B$11))+D48*Settings!$B$11,"")</f>
        <v/>
      </c>
      <c r="K48" s="14" t="str">
        <f t="shared" si="5"/>
        <v/>
      </c>
    </row>
    <row r="49" spans="1:11" ht="43.9" customHeight="1">
      <c r="A49" s="15" t="s">
        <v>140</v>
      </c>
      <c r="B49" s="16"/>
      <c r="C49" s="17"/>
      <c r="D49" s="17"/>
      <c r="E49" s="18"/>
      <c r="F49" s="16"/>
      <c r="G49" s="14" t="str">
        <f>IF(AND(COUNT(C49:E49)=3,MIN(C49:E49)&gt;=0,OR(B49="Staff",B49="Management",B49="Specialist"),LEN(TRIM(F49))&gt;0,COUNT(Settings!$B$9:$B$11)=3,MIN(Settings!$B$9:$B$11)&gt;=0),"Ready","Complete blue inputs")</f>
        <v>Complete blue inputs</v>
      </c>
      <c r="H49" s="14" t="str">
        <f t="shared" si="3"/>
        <v/>
      </c>
      <c r="I49" s="14" t="str">
        <f t="shared" si="4"/>
        <v/>
      </c>
      <c r="J49" s="14" t="str">
        <f>IF(G49="Ready",C49*IF(B49="Staff",Settings!$B$9,IF(B49="Management",Settings!$B$10,Settings!$B$11))+D49*Settings!$B$11,"")</f>
        <v/>
      </c>
      <c r="K49" s="14" t="str">
        <f t="shared" si="5"/>
        <v/>
      </c>
    </row>
    <row r="50" spans="1:11" ht="43.9" customHeight="1">
      <c r="A50" s="15" t="s">
        <v>141</v>
      </c>
      <c r="B50" s="16"/>
      <c r="C50" s="17"/>
      <c r="D50" s="17"/>
      <c r="E50" s="18"/>
      <c r="F50" s="16"/>
      <c r="G50" s="14" t="str">
        <f>IF(AND(COUNT(C50:E50)=3,MIN(C50:E50)&gt;=0,OR(B50="Staff",B50="Management",B50="Specialist"),LEN(TRIM(F50))&gt;0,COUNT(Settings!$B$9:$B$11)=3,MIN(Settings!$B$9:$B$11)&gt;=0),"Ready","Complete blue inputs")</f>
        <v>Complete blue inputs</v>
      </c>
      <c r="H50" s="14" t="str">
        <f t="shared" si="3"/>
        <v/>
      </c>
      <c r="I50" s="14" t="str">
        <f t="shared" si="4"/>
        <v/>
      </c>
      <c r="J50" s="14" t="str">
        <f>IF(G50="Ready",C50*IF(B50="Staff",Settings!$B$9,IF(B50="Management",Settings!$B$10,Settings!$B$11))+D50*Settings!$B$11,"")</f>
        <v/>
      </c>
      <c r="K50" s="14" t="str">
        <f t="shared" si="5"/>
        <v/>
      </c>
    </row>
    <row r="51" spans="1:11" ht="43.9" customHeight="1">
      <c r="A51" s="15" t="s">
        <v>142</v>
      </c>
      <c r="B51" s="16"/>
      <c r="C51" s="17"/>
      <c r="D51" s="17"/>
      <c r="E51" s="18"/>
      <c r="F51" s="16"/>
      <c r="G51" s="14" t="str">
        <f>IF(AND(COUNT(C51:E51)=3,MIN(C51:E51)&gt;=0,OR(B51="Staff",B51="Management",B51="Specialist"),LEN(TRIM(F51))&gt;0,COUNT(Settings!$B$9:$B$11)=3,MIN(Settings!$B$9:$B$11)&gt;=0),"Ready","Complete blue inputs")</f>
        <v>Complete blue inputs</v>
      </c>
      <c r="H51" s="14" t="str">
        <f t="shared" si="3"/>
        <v/>
      </c>
      <c r="I51" s="14" t="str">
        <f t="shared" si="4"/>
        <v/>
      </c>
      <c r="J51" s="14" t="str">
        <f>IF(G51="Ready",C51*IF(B51="Staff",Settings!$B$9,IF(B51="Management",Settings!$B$10,Settings!$B$11))+D51*Settings!$B$11,"")</f>
        <v/>
      </c>
      <c r="K51" s="14" t="str">
        <f t="shared" si="5"/>
        <v/>
      </c>
    </row>
    <row r="52" spans="1:11" ht="43.9" customHeight="1">
      <c r="A52" s="15" t="s">
        <v>143</v>
      </c>
      <c r="B52" s="16"/>
      <c r="C52" s="17"/>
      <c r="D52" s="17"/>
      <c r="E52" s="18"/>
      <c r="F52" s="16"/>
      <c r="G52" s="14" t="str">
        <f>IF(AND(COUNT(C52:E52)=3,MIN(C52:E52)&gt;=0,OR(B52="Staff",B52="Management",B52="Specialist"),LEN(TRIM(F52))&gt;0,COUNT(Settings!$B$9:$B$11)=3,MIN(Settings!$B$9:$B$11)&gt;=0),"Ready","Complete blue inputs")</f>
        <v>Complete blue inputs</v>
      </c>
      <c r="H52" s="14" t="str">
        <f t="shared" si="3"/>
        <v/>
      </c>
      <c r="I52" s="14" t="str">
        <f t="shared" si="4"/>
        <v/>
      </c>
      <c r="J52" s="14" t="str">
        <f>IF(G52="Ready",C52*IF(B52="Staff",Settings!$B$9,IF(B52="Management",Settings!$B$10,Settings!$B$11))+D52*Settings!$B$11,"")</f>
        <v/>
      </c>
      <c r="K52" s="14" t="str">
        <f t="shared" si="5"/>
        <v/>
      </c>
    </row>
    <row r="53" spans="1:11" ht="43.9" customHeight="1">
      <c r="A53" s="15" t="s">
        <v>144</v>
      </c>
      <c r="B53" s="16"/>
      <c r="C53" s="17"/>
      <c r="D53" s="17"/>
      <c r="E53" s="18"/>
      <c r="F53" s="16"/>
      <c r="G53" s="14" t="str">
        <f>IF(AND(COUNT(C53:E53)=3,MIN(C53:E53)&gt;=0,OR(B53="Staff",B53="Management",B53="Specialist"),LEN(TRIM(F53))&gt;0,COUNT(Settings!$B$9:$B$11)=3,MIN(Settings!$B$9:$B$11)&gt;=0),"Ready","Complete blue inputs")</f>
        <v>Complete blue inputs</v>
      </c>
      <c r="H53" s="14" t="str">
        <f t="shared" si="3"/>
        <v/>
      </c>
      <c r="I53" s="14" t="str">
        <f t="shared" si="4"/>
        <v/>
      </c>
      <c r="J53" s="14" t="str">
        <f>IF(G53="Ready",C53*IF(B53="Staff",Settings!$B$9,IF(B53="Management",Settings!$B$10,Settings!$B$11))+D53*Settings!$B$11,"")</f>
        <v/>
      </c>
      <c r="K53" s="14" t="str">
        <f t="shared" si="5"/>
        <v/>
      </c>
    </row>
    <row r="54" spans="1:11" ht="43.9" customHeight="1">
      <c r="A54" s="15" t="s">
        <v>145</v>
      </c>
      <c r="B54" s="16"/>
      <c r="C54" s="17"/>
      <c r="D54" s="17"/>
      <c r="E54" s="18"/>
      <c r="F54" s="16"/>
      <c r="G54" s="14" t="str">
        <f>IF(AND(COUNT(C54:E54)=3,MIN(C54:E54)&gt;=0,OR(B54="Staff",B54="Management",B54="Specialist"),LEN(TRIM(F54))&gt;0,COUNT(Settings!$B$9:$B$11)=3,MIN(Settings!$B$9:$B$11)&gt;=0),"Ready","Complete blue inputs")</f>
        <v>Complete blue inputs</v>
      </c>
      <c r="H54" s="14" t="str">
        <f t="shared" si="3"/>
        <v/>
      </c>
      <c r="I54" s="14" t="str">
        <f t="shared" si="4"/>
        <v/>
      </c>
      <c r="J54" s="14" t="str">
        <f>IF(G54="Ready",C54*IF(B54="Staff",Settings!$B$9,IF(B54="Management",Settings!$B$10,Settings!$B$11))+D54*Settings!$B$11,"")</f>
        <v/>
      </c>
      <c r="K54" s="14" t="str">
        <f t="shared" si="5"/>
        <v/>
      </c>
    </row>
    <row r="55" spans="1:11" ht="43.9" customHeight="1">
      <c r="A55" s="15" t="s">
        <v>146</v>
      </c>
      <c r="B55" s="16"/>
      <c r="C55" s="17"/>
      <c r="D55" s="17"/>
      <c r="E55" s="18"/>
      <c r="F55" s="16"/>
      <c r="G55" s="14" t="str">
        <f>IF(AND(COUNT(C55:E55)=3,MIN(C55:E55)&gt;=0,OR(B55="Staff",B55="Management",B55="Specialist"),LEN(TRIM(F55))&gt;0,COUNT(Settings!$B$9:$B$11)=3,MIN(Settings!$B$9:$B$11)&gt;=0),"Ready","Complete blue inputs")</f>
        <v>Complete blue inputs</v>
      </c>
      <c r="H55" s="14" t="str">
        <f t="shared" si="3"/>
        <v/>
      </c>
      <c r="I55" s="14" t="str">
        <f t="shared" si="4"/>
        <v/>
      </c>
      <c r="J55" s="14" t="str">
        <f>IF(G55="Ready",C55*IF(B55="Staff",Settings!$B$9,IF(B55="Management",Settings!$B$10,Settings!$B$11))+D55*Settings!$B$11,"")</f>
        <v/>
      </c>
      <c r="K55" s="14" t="str">
        <f t="shared" si="5"/>
        <v/>
      </c>
    </row>
    <row r="56" spans="1:11" ht="43.9" customHeight="1">
      <c r="A56" s="15" t="s">
        <v>147</v>
      </c>
      <c r="B56" s="16"/>
      <c r="C56" s="17"/>
      <c r="D56" s="17"/>
      <c r="E56" s="18"/>
      <c r="F56" s="16"/>
      <c r="G56" s="14" t="str">
        <f>IF(AND(COUNT(C56:E56)=3,MIN(C56:E56)&gt;=0,OR(B56="Staff",B56="Management",B56="Specialist"),LEN(TRIM(F56))&gt;0,COUNT(Settings!$B$9:$B$11)=3,MIN(Settings!$B$9:$B$11)&gt;=0),"Ready","Complete blue inputs")</f>
        <v>Complete blue inputs</v>
      </c>
      <c r="H56" s="14" t="str">
        <f t="shared" si="3"/>
        <v/>
      </c>
      <c r="I56" s="14" t="str">
        <f t="shared" si="4"/>
        <v/>
      </c>
      <c r="J56" s="14" t="str">
        <f>IF(G56="Ready",C56*IF(B56="Staff",Settings!$B$9,IF(B56="Management",Settings!$B$10,Settings!$B$11))+D56*Settings!$B$11,"")</f>
        <v/>
      </c>
      <c r="K56" s="14" t="str">
        <f t="shared" si="5"/>
        <v/>
      </c>
    </row>
    <row r="57" spans="1:11" ht="22.9" customHeight="1">
      <c r="A57" s="1"/>
      <c r="B57" s="1"/>
      <c r="C57" s="1"/>
      <c r="D57" s="1"/>
      <c r="E57" s="1"/>
      <c r="F57" s="1"/>
      <c r="G57" s="1"/>
      <c r="H57" s="1"/>
      <c r="I57" s="1"/>
      <c r="J57" s="1"/>
      <c r="K57" s="1"/>
    </row>
    <row r="58" spans="1:11" ht="22.9" customHeight="1">
      <c r="A58" s="1"/>
      <c r="B58" s="1"/>
      <c r="C58" s="1"/>
      <c r="D58" s="1"/>
      <c r="E58" s="1"/>
      <c r="F58" s="1"/>
      <c r="G58" s="1"/>
      <c r="H58" s="1"/>
      <c r="I58" s="1"/>
      <c r="J58" s="1"/>
      <c r="K58" s="1"/>
    </row>
    <row r="59" spans="1:11" ht="22.9" customHeight="1">
      <c r="A59" s="1"/>
      <c r="B59" s="1"/>
      <c r="C59" s="1"/>
      <c r="D59" s="1"/>
      <c r="E59" s="1"/>
      <c r="F59" s="1"/>
      <c r="G59" s="1"/>
      <c r="H59" s="1"/>
      <c r="I59" s="1"/>
      <c r="J59" s="1"/>
      <c r="K59" s="1"/>
    </row>
    <row r="60" spans="1:11" ht="22.9" customHeight="1">
      <c r="A60" s="1"/>
      <c r="B60" s="1"/>
      <c r="C60" s="1"/>
      <c r="D60" s="1"/>
      <c r="E60" s="1"/>
      <c r="F60" s="1"/>
      <c r="G60" s="1"/>
      <c r="H60" s="1"/>
      <c r="I60" s="1"/>
      <c r="J60" s="1"/>
      <c r="K60" s="1"/>
    </row>
    <row r="61" spans="1:11" ht="22.9" customHeight="1">
      <c r="A61" s="1"/>
      <c r="B61" s="1"/>
      <c r="C61" s="1"/>
      <c r="D61" s="1"/>
      <c r="E61" s="1"/>
      <c r="F61" s="1"/>
      <c r="G61" s="1"/>
      <c r="H61" s="1"/>
      <c r="I61" s="1"/>
      <c r="J61" s="1"/>
      <c r="K61" s="1"/>
    </row>
    <row r="62" spans="1:11" ht="22.9" customHeight="1">
      <c r="A62" s="1"/>
      <c r="B62" s="1"/>
      <c r="C62" s="1"/>
      <c r="D62" s="1"/>
      <c r="E62" s="1"/>
      <c r="F62" s="1"/>
      <c r="G62" s="1"/>
      <c r="H62" s="1"/>
      <c r="I62" s="1"/>
      <c r="J62" s="1"/>
      <c r="K62" s="1"/>
    </row>
    <row r="63" spans="1:11" ht="22.9" customHeight="1">
      <c r="A63" s="1"/>
      <c r="B63" s="1"/>
      <c r="C63" s="1"/>
      <c r="D63" s="1"/>
      <c r="E63" s="1"/>
      <c r="F63" s="1"/>
      <c r="G63" s="1"/>
      <c r="H63" s="1"/>
      <c r="I63" s="1"/>
      <c r="J63" s="1"/>
      <c r="K63" s="1"/>
    </row>
    <row r="64" spans="1:11" ht="22.9" customHeight="1">
      <c r="A64" s="1"/>
      <c r="B64" s="1"/>
      <c r="C64" s="1"/>
      <c r="D64" s="1"/>
      <c r="E64" s="1"/>
      <c r="F64" s="1"/>
      <c r="G64" s="1"/>
      <c r="H64" s="1"/>
      <c r="I64" s="1"/>
      <c r="J64" s="1"/>
      <c r="K64" s="1"/>
    </row>
    <row r="65" spans="1:11" ht="22.9" customHeight="1">
      <c r="A65" s="1"/>
      <c r="B65" s="1"/>
      <c r="C65" s="1"/>
      <c r="D65" s="1"/>
      <c r="E65" s="1"/>
      <c r="F65" s="1"/>
      <c r="G65" s="1"/>
      <c r="H65" s="1"/>
      <c r="I65" s="1"/>
      <c r="J65" s="1"/>
      <c r="K65" s="1"/>
    </row>
    <row r="66" spans="1:11" ht="22.9" customHeight="1">
      <c r="A66" s="1"/>
      <c r="B66" s="1"/>
      <c r="C66" s="1"/>
      <c r="D66" s="1"/>
      <c r="E66" s="1"/>
      <c r="F66" s="1"/>
      <c r="G66" s="1"/>
      <c r="H66" s="1"/>
      <c r="I66" s="1"/>
      <c r="J66" s="1"/>
      <c r="K66" s="1"/>
    </row>
    <row r="67" spans="1:11" ht="22.9" customHeight="1">
      <c r="A67" s="1"/>
      <c r="B67" s="1"/>
      <c r="C67" s="1"/>
      <c r="D67" s="1"/>
      <c r="E67" s="1"/>
      <c r="F67" s="1"/>
      <c r="G67" s="1"/>
      <c r="H67" s="1"/>
      <c r="I67" s="1"/>
      <c r="J67" s="1"/>
      <c r="K67" s="1"/>
    </row>
    <row r="68" spans="1:11" ht="22.9" customHeight="1">
      <c r="A68" s="1"/>
      <c r="B68" s="1"/>
      <c r="C68" s="1"/>
      <c r="D68" s="1"/>
      <c r="E68" s="1"/>
      <c r="F68" s="1"/>
      <c r="G68" s="1"/>
      <c r="H68" s="1"/>
      <c r="I68" s="1"/>
      <c r="J68" s="1"/>
      <c r="K68" s="1"/>
    </row>
    <row r="69" spans="1:11" ht="22.9" customHeight="1">
      <c r="A69" s="1"/>
      <c r="B69" s="1"/>
      <c r="C69" s="1"/>
      <c r="D69" s="1"/>
      <c r="E69" s="1"/>
      <c r="F69" s="1"/>
      <c r="G69" s="1"/>
      <c r="H69" s="1"/>
      <c r="I69" s="1"/>
      <c r="J69" s="1"/>
      <c r="K69" s="1"/>
    </row>
    <row r="70" spans="1:11" ht="22.9" customHeight="1">
      <c r="A70" s="1"/>
      <c r="B70" s="1"/>
      <c r="C70" s="1"/>
      <c r="D70" s="1"/>
      <c r="E70" s="1"/>
      <c r="F70" s="1"/>
      <c r="G70" s="1"/>
      <c r="H70" s="1"/>
      <c r="I70" s="1"/>
      <c r="J70" s="1"/>
      <c r="K70" s="1"/>
    </row>
    <row r="71" spans="1:11" ht="22.9" customHeight="1">
      <c r="A71" s="1"/>
      <c r="B71" s="1"/>
      <c r="C71" s="1"/>
      <c r="D71" s="1"/>
      <c r="E71" s="1"/>
      <c r="F71" s="1"/>
      <c r="G71" s="1"/>
      <c r="H71" s="1"/>
      <c r="I71" s="1"/>
      <c r="J71" s="1"/>
      <c r="K71" s="1"/>
    </row>
    <row r="72" spans="1:11" ht="22.9" customHeight="1">
      <c r="A72" s="1"/>
      <c r="B72" s="1"/>
      <c r="C72" s="1"/>
      <c r="D72" s="1"/>
      <c r="E72" s="1"/>
      <c r="F72" s="1"/>
      <c r="G72" s="1"/>
      <c r="H72" s="1"/>
      <c r="I72" s="1"/>
      <c r="J72" s="1"/>
      <c r="K72" s="1"/>
    </row>
    <row r="73" spans="1:11" ht="22.9" customHeight="1">
      <c r="A73" s="1"/>
      <c r="B73" s="1"/>
      <c r="C73" s="1"/>
      <c r="D73" s="1"/>
      <c r="E73" s="1"/>
      <c r="F73" s="1"/>
      <c r="G73" s="1"/>
      <c r="H73" s="1"/>
      <c r="I73" s="1"/>
      <c r="J73" s="1"/>
      <c r="K73" s="1"/>
    </row>
    <row r="74" spans="1:11" ht="22.9" customHeight="1">
      <c r="A74" s="1"/>
      <c r="B74" s="1"/>
      <c r="C74" s="1"/>
      <c r="D74" s="1"/>
      <c r="E74" s="1"/>
      <c r="F74" s="1"/>
      <c r="G74" s="1"/>
      <c r="H74" s="1"/>
      <c r="I74" s="1"/>
      <c r="J74" s="1"/>
      <c r="K74" s="1"/>
    </row>
    <row r="75" spans="1:11" ht="22.9" customHeight="1">
      <c r="A75" s="1"/>
      <c r="B75" s="1"/>
      <c r="C75" s="1"/>
      <c r="D75" s="1"/>
      <c r="E75" s="1"/>
      <c r="F75" s="1"/>
      <c r="G75" s="1"/>
      <c r="H75" s="1"/>
      <c r="I75" s="1"/>
      <c r="J75" s="1"/>
      <c r="K75" s="1"/>
    </row>
    <row r="76" spans="1:11" ht="22.9" customHeight="1">
      <c r="A76" s="1"/>
      <c r="B76" s="1"/>
      <c r="C76" s="1"/>
      <c r="D76" s="1"/>
      <c r="E76" s="1"/>
      <c r="F76" s="1"/>
      <c r="G76" s="1"/>
      <c r="H76" s="1"/>
      <c r="I76" s="1"/>
      <c r="J76" s="1"/>
      <c r="K76" s="1"/>
    </row>
    <row r="77" spans="1:11" ht="22.9" customHeight="1">
      <c r="A77" s="1"/>
      <c r="B77" s="1"/>
      <c r="C77" s="1"/>
      <c r="D77" s="1"/>
      <c r="E77" s="1"/>
      <c r="F77" s="1"/>
      <c r="G77" s="1"/>
      <c r="H77" s="1"/>
      <c r="I77" s="1"/>
      <c r="J77" s="1"/>
      <c r="K77" s="1"/>
    </row>
    <row r="78" spans="1:11" ht="22.9" customHeight="1">
      <c r="A78" s="1"/>
      <c r="B78" s="1"/>
      <c r="C78" s="1"/>
      <c r="D78" s="1"/>
      <c r="E78" s="1"/>
      <c r="F78" s="1"/>
      <c r="G78" s="1"/>
      <c r="H78" s="1"/>
      <c r="I78" s="1"/>
      <c r="J78" s="1"/>
      <c r="K78" s="1"/>
    </row>
    <row r="79" spans="1:11" ht="22.9" customHeight="1">
      <c r="A79" s="1"/>
      <c r="B79" s="1"/>
      <c r="C79" s="1"/>
      <c r="D79" s="1"/>
      <c r="E79" s="1"/>
      <c r="F79" s="1"/>
      <c r="G79" s="1"/>
      <c r="H79" s="1"/>
      <c r="I79" s="1"/>
      <c r="J79" s="1"/>
      <c r="K79" s="1"/>
    </row>
    <row r="80" spans="1:11" ht="22.9" customHeight="1">
      <c r="A80" s="1"/>
      <c r="B80" s="1"/>
      <c r="C80" s="1"/>
      <c r="D80" s="1"/>
      <c r="E80" s="1"/>
      <c r="F80" s="1"/>
      <c r="G80" s="1"/>
      <c r="H80" s="1"/>
      <c r="I80" s="1"/>
      <c r="J80" s="1"/>
      <c r="K80" s="1"/>
    </row>
  </sheetData>
  <mergeCells count="2">
    <mergeCell ref="A1:G2"/>
    <mergeCell ref="A3:G4"/>
  </mergeCells>
  <conditionalFormatting sqref="G7:G56">
    <cfRule type="expression" dxfId="8" priority="1">
      <formula>OR(G7="Ready",G7="Clear")</formula>
    </cfRule>
    <cfRule type="expression" dxfId="7" priority="2">
      <formula>G7="Blocked"</formula>
    </cfRule>
  </conditionalFormatting>
  <dataValidations count="2">
    <dataValidation type="list" allowBlank="1" showInputMessage="1" showErrorMessage="1" errorTitle="Choose a listed value" error="Use the dropdown. Blank means not yet known; it is not approval." promptTitle="Execution group" prompt="Required even at zero hours. Specialist execution is counted as team time, not business time." sqref="B7:B56" xr:uid="{00000000-0002-0000-0300-000000000000}">
      <formula1>"Staff,Management,Specialist"</formula1>
    </dataValidation>
    <dataValidation type="decimal" allowBlank="1" showInputMessage="1" showErrorMessage="1" errorTitle="Invalid number" error="Enter a valid number within the stated range." promptTitle="Required number" prompt="Enter a number; enter 0 only when zero is confirmed." sqref="C7:E56" xr:uid="{00000000-0002-0000-0300-000001000000}">
      <formula1>0</formula1>
      <formula2>1000000000000</formula2>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3" width="15" customWidth="1"/>
    <col min="4" max="4" width="19" customWidth="1"/>
    <col min="5" max="5" width="18" customWidth="1"/>
    <col min="6" max="6" width="17" customWidth="1"/>
    <col min="7" max="7" width="42" customWidth="1"/>
    <col min="8" max="8" width="23" customWidth="1"/>
    <col min="9" max="12" width="14" customWidth="1"/>
  </cols>
  <sheetData>
    <row r="1" spans="1:12" ht="24" customHeight="1">
      <c r="A1" s="31" t="s">
        <v>174</v>
      </c>
      <c r="B1" s="31"/>
      <c r="C1" s="31"/>
      <c r="D1" s="31"/>
      <c r="E1" s="31"/>
      <c r="F1" s="31"/>
      <c r="G1" s="31"/>
      <c r="H1" s="31"/>
      <c r="I1" s="2"/>
      <c r="J1" s="2"/>
      <c r="K1" s="2"/>
      <c r="L1" s="2"/>
    </row>
    <row r="2" spans="1:12" ht="24" customHeight="1">
      <c r="A2" s="31"/>
      <c r="B2" s="31"/>
      <c r="C2" s="31"/>
      <c r="D2" s="31"/>
      <c r="E2" s="31"/>
      <c r="F2" s="31"/>
      <c r="G2" s="31"/>
      <c r="H2" s="31"/>
      <c r="I2" s="2"/>
      <c r="J2" s="2"/>
      <c r="K2" s="2"/>
      <c r="L2" s="2"/>
    </row>
    <row r="3" spans="1:12" ht="22.15" customHeight="1">
      <c r="A3" s="32" t="s">
        <v>175</v>
      </c>
      <c r="B3" s="32"/>
      <c r="C3" s="32"/>
      <c r="D3" s="32"/>
      <c r="E3" s="32"/>
      <c r="F3" s="32"/>
      <c r="G3" s="32"/>
      <c r="H3" s="32"/>
      <c r="I3" s="3"/>
      <c r="J3" s="3"/>
      <c r="K3" s="3"/>
      <c r="L3" s="3"/>
    </row>
    <row r="4" spans="1:12" ht="22.15" customHeight="1">
      <c r="A4" s="32"/>
      <c r="B4" s="32"/>
      <c r="C4" s="32"/>
      <c r="D4" s="32"/>
      <c r="E4" s="32"/>
      <c r="F4" s="32"/>
      <c r="G4" s="32"/>
      <c r="H4" s="32"/>
      <c r="I4" s="3"/>
      <c r="J4" s="3"/>
      <c r="K4" s="3"/>
      <c r="L4" s="3"/>
    </row>
    <row r="5" spans="1:12" ht="22.9" customHeight="1">
      <c r="A5" s="4" t="str">
        <f>IFERROR(HYPERLINK("#'Start'!A1","← Start"),"← Start")</f>
        <v>← Start</v>
      </c>
      <c r="B5" s="1"/>
      <c r="C5" s="1"/>
      <c r="D5" s="1"/>
      <c r="E5" s="1"/>
      <c r="F5" s="1"/>
      <c r="G5" s="1"/>
      <c r="H5" s="1"/>
      <c r="I5" s="1"/>
      <c r="J5" s="1"/>
      <c r="K5" s="1"/>
      <c r="L5" s="1"/>
    </row>
    <row r="6" spans="1:12" ht="43.15" customHeight="1">
      <c r="A6" s="11" t="s">
        <v>62</v>
      </c>
      <c r="B6" s="11" t="s">
        <v>150</v>
      </c>
      <c r="C6" s="11" t="s">
        <v>151</v>
      </c>
      <c r="D6" s="11" t="s">
        <v>152</v>
      </c>
      <c r="E6" s="11" t="s">
        <v>153</v>
      </c>
      <c r="F6" s="11" t="s">
        <v>176</v>
      </c>
      <c r="G6" s="11" t="s">
        <v>154</v>
      </c>
      <c r="H6" s="11" t="s">
        <v>155</v>
      </c>
      <c r="I6" s="11" t="s">
        <v>156</v>
      </c>
      <c r="J6" s="11" t="s">
        <v>157</v>
      </c>
      <c r="K6" s="11" t="s">
        <v>158</v>
      </c>
      <c r="L6" s="11" t="s">
        <v>159</v>
      </c>
    </row>
    <row r="7" spans="1:12" ht="43.9" customHeight="1">
      <c r="A7" s="15" t="s">
        <v>33</v>
      </c>
      <c r="B7" s="16" t="s">
        <v>160</v>
      </c>
      <c r="C7" s="17">
        <v>300</v>
      </c>
      <c r="D7" s="17">
        <v>80</v>
      </c>
      <c r="E7" s="18">
        <v>60000</v>
      </c>
      <c r="F7" s="18">
        <v>40000</v>
      </c>
      <c r="G7" s="16" t="s">
        <v>177</v>
      </c>
      <c r="H7" s="14" t="str">
        <f>IF(AND(COUNT(C7:F7)=4,MIN(C7:F7)&gt;=0,OR(B7="Staff",B7="Management",B7="Specialist"),LEN(TRIM(G7))&gt;0,COUNT(Settings!$B$9:$B$11)=3,MIN(Settings!$B$9:$B$11)&gt;=0),"Ready","Complete blue inputs")</f>
        <v>Ready</v>
      </c>
      <c r="I7" s="14">
        <f t="shared" ref="I7:I38" si="0">IF(H7="Ready",IF(B7="Specialist",0,C7),"")</f>
        <v>300</v>
      </c>
      <c r="J7" s="14">
        <f t="shared" ref="J7:J38" si="1">IF(H7="Ready",D7+IF(B7="Specialist",C7,0),"")</f>
        <v>80</v>
      </c>
      <c r="K7" s="14">
        <f>IF(H7="Ready",C7*IF(B7="Staff",Settings!$B$9,IF(B7="Management",Settings!$B$10,Settings!$B$11))+D7*Settings!$B$11,"")</f>
        <v>24000</v>
      </c>
      <c r="L7" s="14">
        <f t="shared" ref="L7:L38" si="2">IF(H7="Ready",K7+E7,"")</f>
        <v>84000</v>
      </c>
    </row>
    <row r="8" spans="1:12" ht="43.9" customHeight="1">
      <c r="A8" s="15" t="s">
        <v>75</v>
      </c>
      <c r="B8" s="16" t="s">
        <v>160</v>
      </c>
      <c r="C8" s="17">
        <v>0</v>
      </c>
      <c r="D8" s="17">
        <v>10</v>
      </c>
      <c r="E8" s="18">
        <v>0</v>
      </c>
      <c r="F8" s="18">
        <v>5000</v>
      </c>
      <c r="G8" s="16" t="s">
        <v>178</v>
      </c>
      <c r="H8" s="14" t="str">
        <f>IF(AND(COUNT(C8:F8)=4,MIN(C8:F8)&gt;=0,OR(B8="Staff",B8="Management",B8="Specialist"),LEN(TRIM(G8))&gt;0,COUNT(Settings!$B$9:$B$11)=3,MIN(Settings!$B$9:$B$11)&gt;=0),"Ready","Complete blue inputs")</f>
        <v>Ready</v>
      </c>
      <c r="I8" s="14">
        <f t="shared" si="0"/>
        <v>0</v>
      </c>
      <c r="J8" s="14">
        <f t="shared" si="1"/>
        <v>10</v>
      </c>
      <c r="K8" s="14">
        <f>IF(H8="Ready",C8*IF(B8="Staff",Settings!$B$9,IF(B8="Management",Settings!$B$10,Settings!$B$11))+D8*Settings!$B$11,"")</f>
        <v>750</v>
      </c>
      <c r="L8" s="14">
        <f t="shared" si="2"/>
        <v>750</v>
      </c>
    </row>
    <row r="9" spans="1:12" ht="43.9" customHeight="1">
      <c r="A9" s="15" t="s">
        <v>78</v>
      </c>
      <c r="B9" s="16" t="s">
        <v>160</v>
      </c>
      <c r="C9" s="17">
        <v>400</v>
      </c>
      <c r="D9" s="17">
        <v>60</v>
      </c>
      <c r="E9" s="18">
        <v>0</v>
      </c>
      <c r="F9" s="18">
        <v>5000</v>
      </c>
      <c r="G9" s="16" t="s">
        <v>179</v>
      </c>
      <c r="H9" s="14" t="str">
        <f>IF(AND(COUNT(C9:F9)=4,MIN(C9:F9)&gt;=0,OR(B9="Staff",B9="Management",B9="Specialist"),LEN(TRIM(G9))&gt;0,COUNT(Settings!$B$9:$B$11)=3,MIN(Settings!$B$9:$B$11)&gt;=0),"Ready","Complete blue inputs")</f>
        <v>Ready</v>
      </c>
      <c r="I9" s="14">
        <f t="shared" si="0"/>
        <v>400</v>
      </c>
      <c r="J9" s="14">
        <f t="shared" si="1"/>
        <v>60</v>
      </c>
      <c r="K9" s="14">
        <f>IF(H9="Ready",C9*IF(B9="Staff",Settings!$B$9,IF(B9="Management",Settings!$B$10,Settings!$B$11))+D9*Settings!$B$11,"")</f>
        <v>28500</v>
      </c>
      <c r="L9" s="14">
        <f t="shared" si="2"/>
        <v>28500</v>
      </c>
    </row>
    <row r="10" spans="1:12" ht="43.9" customHeight="1">
      <c r="A10" s="15" t="s">
        <v>82</v>
      </c>
      <c r="B10" s="16" t="s">
        <v>164</v>
      </c>
      <c r="C10" s="17">
        <v>100</v>
      </c>
      <c r="D10" s="17">
        <v>40</v>
      </c>
      <c r="E10" s="18">
        <v>15000</v>
      </c>
      <c r="F10" s="18">
        <v>25000</v>
      </c>
      <c r="G10" s="16" t="s">
        <v>180</v>
      </c>
      <c r="H10" s="14" t="str">
        <f>IF(AND(COUNT(C10:F10)=4,MIN(C10:F10)&gt;=0,OR(B10="Staff",B10="Management",B10="Specialist"),LEN(TRIM(G10))&gt;0,COUNT(Settings!$B$9:$B$11)=3,MIN(Settings!$B$9:$B$11)&gt;=0),"Ready","Complete blue inputs")</f>
        <v>Ready</v>
      </c>
      <c r="I10" s="14">
        <f t="shared" si="0"/>
        <v>100</v>
      </c>
      <c r="J10" s="14">
        <f t="shared" si="1"/>
        <v>40</v>
      </c>
      <c r="K10" s="14">
        <f>IF(H10="Ready",C10*IF(B10="Staff",Settings!$B$9,IF(B10="Management",Settings!$B$10,Settings!$B$11))+D10*Settings!$B$11,"")</f>
        <v>12000</v>
      </c>
      <c r="L10" s="14">
        <f t="shared" si="2"/>
        <v>27000</v>
      </c>
    </row>
    <row r="11" spans="1:12" ht="43.9" customHeight="1">
      <c r="A11" s="15" t="s">
        <v>85</v>
      </c>
      <c r="B11" s="16" t="s">
        <v>166</v>
      </c>
      <c r="C11" s="17">
        <v>50</v>
      </c>
      <c r="D11" s="17">
        <v>120</v>
      </c>
      <c r="E11" s="18">
        <v>10000</v>
      </c>
      <c r="F11" s="18">
        <v>8000</v>
      </c>
      <c r="G11" s="16" t="s">
        <v>181</v>
      </c>
      <c r="H11" s="14" t="str">
        <f>IF(AND(COUNT(C11:F11)=4,MIN(C11:F11)&gt;=0,OR(B11="Staff",B11="Management",B11="Specialist"),LEN(TRIM(G11))&gt;0,COUNT(Settings!$B$9:$B$11)=3,MIN(Settings!$B$9:$B$11)&gt;=0),"Ready","Complete blue inputs")</f>
        <v>Ready</v>
      </c>
      <c r="I11" s="14">
        <f t="shared" si="0"/>
        <v>0</v>
      </c>
      <c r="J11" s="14">
        <f t="shared" si="1"/>
        <v>170</v>
      </c>
      <c r="K11" s="14">
        <f>IF(H11="Ready",C11*IF(B11="Staff",Settings!$B$9,IF(B11="Management",Settings!$B$10,Settings!$B$11))+D11*Settings!$B$11,"")</f>
        <v>12750</v>
      </c>
      <c r="L11" s="14">
        <f t="shared" si="2"/>
        <v>22750</v>
      </c>
    </row>
    <row r="12" spans="1:12" ht="43.9" customHeight="1">
      <c r="A12" s="15" t="s">
        <v>88</v>
      </c>
      <c r="B12" s="16" t="s">
        <v>166</v>
      </c>
      <c r="C12" s="17">
        <v>800</v>
      </c>
      <c r="D12" s="17">
        <v>300</v>
      </c>
      <c r="E12" s="18">
        <v>0</v>
      </c>
      <c r="F12" s="18">
        <v>5000</v>
      </c>
      <c r="G12" s="16" t="s">
        <v>182</v>
      </c>
      <c r="H12" s="14" t="str">
        <f>IF(AND(COUNT(C12:F12)=4,MIN(C12:F12)&gt;=0,OR(B12="Staff",B12="Management",B12="Specialist"),LEN(TRIM(G12))&gt;0,COUNT(Settings!$B$9:$B$11)=3,MIN(Settings!$B$9:$B$11)&gt;=0),"Ready","Complete blue inputs")</f>
        <v>Ready</v>
      </c>
      <c r="I12" s="14">
        <f t="shared" si="0"/>
        <v>0</v>
      </c>
      <c r="J12" s="14">
        <f t="shared" si="1"/>
        <v>1100</v>
      </c>
      <c r="K12" s="14">
        <f>IF(H12="Ready",C12*IF(B12="Staff",Settings!$B$9,IF(B12="Management",Settings!$B$10,Settings!$B$11))+D12*Settings!$B$11,"")</f>
        <v>82500</v>
      </c>
      <c r="L12" s="14">
        <f t="shared" si="2"/>
        <v>82500</v>
      </c>
    </row>
    <row r="13" spans="1:12" ht="43.9" customHeight="1">
      <c r="A13" s="15" t="s">
        <v>91</v>
      </c>
      <c r="B13" s="16" t="s">
        <v>160</v>
      </c>
      <c r="C13" s="17">
        <v>800</v>
      </c>
      <c r="D13" s="17">
        <v>60</v>
      </c>
      <c r="E13" s="18">
        <v>12000</v>
      </c>
      <c r="F13" s="18">
        <v>15000</v>
      </c>
      <c r="G13" s="16" t="s">
        <v>183</v>
      </c>
      <c r="H13" s="14" t="str">
        <f>IF(AND(COUNT(C13:F13)=4,MIN(C13:F13)&gt;=0,OR(B13="Staff",B13="Management",B13="Specialist"),LEN(TRIM(G13))&gt;0,COUNT(Settings!$B$9:$B$11)=3,MIN(Settings!$B$9:$B$11)&gt;=0),"Ready","Complete blue inputs")</f>
        <v>Ready</v>
      </c>
      <c r="I13" s="14">
        <f t="shared" si="0"/>
        <v>800</v>
      </c>
      <c r="J13" s="14">
        <f t="shared" si="1"/>
        <v>60</v>
      </c>
      <c r="K13" s="14">
        <f>IF(H13="Ready",C13*IF(B13="Staff",Settings!$B$9,IF(B13="Management",Settings!$B$10,Settings!$B$11))+D13*Settings!$B$11,"")</f>
        <v>52500</v>
      </c>
      <c r="L13" s="14">
        <f t="shared" si="2"/>
        <v>64500</v>
      </c>
    </row>
    <row r="14" spans="1:12" ht="43.9" customHeight="1">
      <c r="A14" s="15" t="s">
        <v>94</v>
      </c>
      <c r="B14" s="16" t="s">
        <v>164</v>
      </c>
      <c r="C14" s="17">
        <v>150</v>
      </c>
      <c r="D14" s="17">
        <v>40</v>
      </c>
      <c r="E14" s="18">
        <v>0</v>
      </c>
      <c r="F14" s="18">
        <v>2000</v>
      </c>
      <c r="G14" s="16" t="s">
        <v>184</v>
      </c>
      <c r="H14" s="14" t="str">
        <f>IF(AND(COUNT(C14:F14)=4,MIN(C14:F14)&gt;=0,OR(B14="Staff",B14="Management",B14="Specialist"),LEN(TRIM(G14))&gt;0,COUNT(Settings!$B$9:$B$11)=3,MIN(Settings!$B$9:$B$11)&gt;=0),"Ready","Complete blue inputs")</f>
        <v>Ready</v>
      </c>
      <c r="I14" s="14">
        <f t="shared" si="0"/>
        <v>150</v>
      </c>
      <c r="J14" s="14">
        <f t="shared" si="1"/>
        <v>40</v>
      </c>
      <c r="K14" s="14">
        <f>IF(H14="Ready",C14*IF(B14="Staff",Settings!$B$9,IF(B14="Management",Settings!$B$10,Settings!$B$11))+D14*Settings!$B$11,"")</f>
        <v>16500</v>
      </c>
      <c r="L14" s="14">
        <f t="shared" si="2"/>
        <v>16500</v>
      </c>
    </row>
    <row r="15" spans="1:12" ht="43.9" customHeight="1">
      <c r="A15" s="15" t="s">
        <v>97</v>
      </c>
      <c r="B15" s="16" t="s">
        <v>160</v>
      </c>
      <c r="C15" s="17">
        <v>1100</v>
      </c>
      <c r="D15" s="17">
        <v>80</v>
      </c>
      <c r="E15" s="18">
        <v>4000</v>
      </c>
      <c r="F15" s="18">
        <v>0</v>
      </c>
      <c r="G15" s="16" t="s">
        <v>185</v>
      </c>
      <c r="H15" s="14" t="str">
        <f>IF(AND(COUNT(C15:F15)=4,MIN(C15:F15)&gt;=0,OR(B15="Staff",B15="Management",B15="Specialist"),LEN(TRIM(G15))&gt;0,COUNT(Settings!$B$9:$B$11)=3,MIN(Settings!$B$9:$B$11)&gt;=0),"Ready","Complete blue inputs")</f>
        <v>Ready</v>
      </c>
      <c r="I15" s="14">
        <f t="shared" si="0"/>
        <v>1100</v>
      </c>
      <c r="J15" s="14">
        <f t="shared" si="1"/>
        <v>80</v>
      </c>
      <c r="K15" s="14">
        <f>IF(H15="Ready",C15*IF(B15="Staff",Settings!$B$9,IF(B15="Management",Settings!$B$10,Settings!$B$11))+D15*Settings!$B$11,"")</f>
        <v>72000</v>
      </c>
      <c r="L15" s="14">
        <f t="shared" si="2"/>
        <v>76000</v>
      </c>
    </row>
    <row r="16" spans="1:12" ht="43.9" customHeight="1">
      <c r="A16" s="15" t="s">
        <v>102</v>
      </c>
      <c r="B16" s="16" t="s">
        <v>166</v>
      </c>
      <c r="C16" s="17">
        <v>0</v>
      </c>
      <c r="D16" s="17">
        <v>300</v>
      </c>
      <c r="E16" s="18">
        <v>90000</v>
      </c>
      <c r="F16" s="18">
        <v>0</v>
      </c>
      <c r="G16" s="16" t="s">
        <v>185</v>
      </c>
      <c r="H16" s="14" t="str">
        <f>IF(AND(COUNT(C16:F16)=4,MIN(C16:F16)&gt;=0,OR(B16="Staff",B16="Management",B16="Specialist"),LEN(TRIM(G16))&gt;0,COUNT(Settings!$B$9:$B$11)=3,MIN(Settings!$B$9:$B$11)&gt;=0),"Ready","Complete blue inputs")</f>
        <v>Ready</v>
      </c>
      <c r="I16" s="14">
        <f t="shared" si="0"/>
        <v>0</v>
      </c>
      <c r="J16" s="14">
        <f t="shared" si="1"/>
        <v>300</v>
      </c>
      <c r="K16" s="14">
        <f>IF(H16="Ready",C16*IF(B16="Staff",Settings!$B$9,IF(B16="Management",Settings!$B$10,Settings!$B$11))+D16*Settings!$B$11,"")</f>
        <v>22500</v>
      </c>
      <c r="L16" s="14">
        <f t="shared" si="2"/>
        <v>112500</v>
      </c>
    </row>
    <row r="17" spans="1:12" ht="43.9" customHeight="1">
      <c r="A17" s="15" t="s">
        <v>105</v>
      </c>
      <c r="B17" s="16" t="s">
        <v>166</v>
      </c>
      <c r="C17" s="17">
        <v>0</v>
      </c>
      <c r="D17" s="17">
        <v>120</v>
      </c>
      <c r="E17" s="18">
        <v>0</v>
      </c>
      <c r="F17" s="18">
        <v>0</v>
      </c>
      <c r="G17" s="16" t="s">
        <v>185</v>
      </c>
      <c r="H17" s="14" t="str">
        <f>IF(AND(COUNT(C17:F17)=4,MIN(C17:F17)&gt;=0,OR(B17="Staff",B17="Management",B17="Specialist"),LEN(TRIM(G17))&gt;0,COUNT(Settings!$B$9:$B$11)=3,MIN(Settings!$B$9:$B$11)&gt;=0),"Ready","Complete blue inputs")</f>
        <v>Ready</v>
      </c>
      <c r="I17" s="14">
        <f t="shared" si="0"/>
        <v>0</v>
      </c>
      <c r="J17" s="14">
        <f t="shared" si="1"/>
        <v>120</v>
      </c>
      <c r="K17" s="14">
        <f>IF(H17="Ready",C17*IF(B17="Staff",Settings!$B$9,IF(B17="Management",Settings!$B$10,Settings!$B$11))+D17*Settings!$B$11,"")</f>
        <v>9000</v>
      </c>
      <c r="L17" s="14">
        <f t="shared" si="2"/>
        <v>9000</v>
      </c>
    </row>
    <row r="18" spans="1:12" ht="43.9" customHeight="1">
      <c r="A18" s="15" t="s">
        <v>108</v>
      </c>
      <c r="B18" s="16"/>
      <c r="C18" s="17"/>
      <c r="D18" s="17"/>
      <c r="E18" s="18"/>
      <c r="F18" s="18"/>
      <c r="G18" s="16"/>
      <c r="H18" s="14" t="str">
        <f>IF(AND(COUNT(C18:F18)=4,MIN(C18:F18)&gt;=0,OR(B18="Staff",B18="Management",B18="Specialist"),LEN(TRIM(G18))&gt;0,COUNT(Settings!$B$9:$B$11)=3,MIN(Settings!$B$9:$B$11)&gt;=0),"Ready","Complete blue inputs")</f>
        <v>Complete blue inputs</v>
      </c>
      <c r="I18" s="14" t="str">
        <f t="shared" si="0"/>
        <v/>
      </c>
      <c r="J18" s="14" t="str">
        <f t="shared" si="1"/>
        <v/>
      </c>
      <c r="K18" s="14" t="str">
        <f>IF(H18="Ready",C18*IF(B18="Staff",Settings!$B$9,IF(B18="Management",Settings!$B$10,Settings!$B$11))+D18*Settings!$B$11,"")</f>
        <v/>
      </c>
      <c r="L18" s="14" t="str">
        <f t="shared" si="2"/>
        <v/>
      </c>
    </row>
    <row r="19" spans="1:12" ht="43.9" customHeight="1">
      <c r="A19" s="15" t="s">
        <v>110</v>
      </c>
      <c r="B19" s="16"/>
      <c r="C19" s="17"/>
      <c r="D19" s="17"/>
      <c r="E19" s="18"/>
      <c r="F19" s="18"/>
      <c r="G19" s="16"/>
      <c r="H19" s="14" t="str">
        <f>IF(AND(COUNT(C19:F19)=4,MIN(C19:F19)&gt;=0,OR(B19="Staff",B19="Management",B19="Specialist"),LEN(TRIM(G19))&gt;0,COUNT(Settings!$B$9:$B$11)=3,MIN(Settings!$B$9:$B$11)&gt;=0),"Ready","Complete blue inputs")</f>
        <v>Complete blue inputs</v>
      </c>
      <c r="I19" s="14" t="str">
        <f t="shared" si="0"/>
        <v/>
      </c>
      <c r="J19" s="14" t="str">
        <f t="shared" si="1"/>
        <v/>
      </c>
      <c r="K19" s="14" t="str">
        <f>IF(H19="Ready",C19*IF(B19="Staff",Settings!$B$9,IF(B19="Management",Settings!$B$10,Settings!$B$11))+D19*Settings!$B$11,"")</f>
        <v/>
      </c>
      <c r="L19" s="14" t="str">
        <f t="shared" si="2"/>
        <v/>
      </c>
    </row>
    <row r="20" spans="1:12" ht="43.9" customHeight="1">
      <c r="A20" s="15" t="s">
        <v>111</v>
      </c>
      <c r="B20" s="16"/>
      <c r="C20" s="17"/>
      <c r="D20" s="17"/>
      <c r="E20" s="18"/>
      <c r="F20" s="18"/>
      <c r="G20" s="16"/>
      <c r="H20" s="14" t="str">
        <f>IF(AND(COUNT(C20:F20)=4,MIN(C20:F20)&gt;=0,OR(B20="Staff",B20="Management",B20="Specialist"),LEN(TRIM(G20))&gt;0,COUNT(Settings!$B$9:$B$11)=3,MIN(Settings!$B$9:$B$11)&gt;=0),"Ready","Complete blue inputs")</f>
        <v>Complete blue inputs</v>
      </c>
      <c r="I20" s="14" t="str">
        <f t="shared" si="0"/>
        <v/>
      </c>
      <c r="J20" s="14" t="str">
        <f t="shared" si="1"/>
        <v/>
      </c>
      <c r="K20" s="14" t="str">
        <f>IF(H20="Ready",C20*IF(B20="Staff",Settings!$B$9,IF(B20="Management",Settings!$B$10,Settings!$B$11))+D20*Settings!$B$11,"")</f>
        <v/>
      </c>
      <c r="L20" s="14" t="str">
        <f t="shared" si="2"/>
        <v/>
      </c>
    </row>
    <row r="21" spans="1:12" ht="43.9" customHeight="1">
      <c r="A21" s="15" t="s">
        <v>112</v>
      </c>
      <c r="B21" s="16"/>
      <c r="C21" s="17"/>
      <c r="D21" s="17"/>
      <c r="E21" s="18"/>
      <c r="F21" s="18"/>
      <c r="G21" s="16"/>
      <c r="H21" s="14" t="str">
        <f>IF(AND(COUNT(C21:F21)=4,MIN(C21:F21)&gt;=0,OR(B21="Staff",B21="Management",B21="Specialist"),LEN(TRIM(G21))&gt;0,COUNT(Settings!$B$9:$B$11)=3,MIN(Settings!$B$9:$B$11)&gt;=0),"Ready","Complete blue inputs")</f>
        <v>Complete blue inputs</v>
      </c>
      <c r="I21" s="14" t="str">
        <f t="shared" si="0"/>
        <v/>
      </c>
      <c r="J21" s="14" t="str">
        <f t="shared" si="1"/>
        <v/>
      </c>
      <c r="K21" s="14" t="str">
        <f>IF(H21="Ready",C21*IF(B21="Staff",Settings!$B$9,IF(B21="Management",Settings!$B$10,Settings!$B$11))+D21*Settings!$B$11,"")</f>
        <v/>
      </c>
      <c r="L21" s="14" t="str">
        <f t="shared" si="2"/>
        <v/>
      </c>
    </row>
    <row r="22" spans="1:12" ht="43.9" customHeight="1">
      <c r="A22" s="15" t="s">
        <v>113</v>
      </c>
      <c r="B22" s="16"/>
      <c r="C22" s="17"/>
      <c r="D22" s="17"/>
      <c r="E22" s="18"/>
      <c r="F22" s="18"/>
      <c r="G22" s="16"/>
      <c r="H22" s="14" t="str">
        <f>IF(AND(COUNT(C22:F22)=4,MIN(C22:F22)&gt;=0,OR(B22="Staff",B22="Management",B22="Specialist"),LEN(TRIM(G22))&gt;0,COUNT(Settings!$B$9:$B$11)=3,MIN(Settings!$B$9:$B$11)&gt;=0),"Ready","Complete blue inputs")</f>
        <v>Complete blue inputs</v>
      </c>
      <c r="I22" s="14" t="str">
        <f t="shared" si="0"/>
        <v/>
      </c>
      <c r="J22" s="14" t="str">
        <f t="shared" si="1"/>
        <v/>
      </c>
      <c r="K22" s="14" t="str">
        <f>IF(H22="Ready",C22*IF(B22="Staff",Settings!$B$9,IF(B22="Management",Settings!$B$10,Settings!$B$11))+D22*Settings!$B$11,"")</f>
        <v/>
      </c>
      <c r="L22" s="14" t="str">
        <f t="shared" si="2"/>
        <v/>
      </c>
    </row>
    <row r="23" spans="1:12" ht="43.9" customHeight="1">
      <c r="A23" s="15" t="s">
        <v>114</v>
      </c>
      <c r="B23" s="16"/>
      <c r="C23" s="17"/>
      <c r="D23" s="17"/>
      <c r="E23" s="18"/>
      <c r="F23" s="18"/>
      <c r="G23" s="16"/>
      <c r="H23" s="14" t="str">
        <f>IF(AND(COUNT(C23:F23)=4,MIN(C23:F23)&gt;=0,OR(B23="Staff",B23="Management",B23="Specialist"),LEN(TRIM(G23))&gt;0,COUNT(Settings!$B$9:$B$11)=3,MIN(Settings!$B$9:$B$11)&gt;=0),"Ready","Complete blue inputs")</f>
        <v>Complete blue inputs</v>
      </c>
      <c r="I23" s="14" t="str">
        <f t="shared" si="0"/>
        <v/>
      </c>
      <c r="J23" s="14" t="str">
        <f t="shared" si="1"/>
        <v/>
      </c>
      <c r="K23" s="14" t="str">
        <f>IF(H23="Ready",C23*IF(B23="Staff",Settings!$B$9,IF(B23="Management",Settings!$B$10,Settings!$B$11))+D23*Settings!$B$11,"")</f>
        <v/>
      </c>
      <c r="L23" s="14" t="str">
        <f t="shared" si="2"/>
        <v/>
      </c>
    </row>
    <row r="24" spans="1:12" ht="43.9" customHeight="1">
      <c r="A24" s="15" t="s">
        <v>115</v>
      </c>
      <c r="B24" s="16"/>
      <c r="C24" s="17"/>
      <c r="D24" s="17"/>
      <c r="E24" s="18"/>
      <c r="F24" s="18"/>
      <c r="G24" s="16"/>
      <c r="H24" s="14" t="str">
        <f>IF(AND(COUNT(C24:F24)=4,MIN(C24:F24)&gt;=0,OR(B24="Staff",B24="Management",B24="Specialist"),LEN(TRIM(G24))&gt;0,COUNT(Settings!$B$9:$B$11)=3,MIN(Settings!$B$9:$B$11)&gt;=0),"Ready","Complete blue inputs")</f>
        <v>Complete blue inputs</v>
      </c>
      <c r="I24" s="14" t="str">
        <f t="shared" si="0"/>
        <v/>
      </c>
      <c r="J24" s="14" t="str">
        <f t="shared" si="1"/>
        <v/>
      </c>
      <c r="K24" s="14" t="str">
        <f>IF(H24="Ready",C24*IF(B24="Staff",Settings!$B$9,IF(B24="Management",Settings!$B$10,Settings!$B$11))+D24*Settings!$B$11,"")</f>
        <v/>
      </c>
      <c r="L24" s="14" t="str">
        <f t="shared" si="2"/>
        <v/>
      </c>
    </row>
    <row r="25" spans="1:12" ht="43.9" customHeight="1">
      <c r="A25" s="15" t="s">
        <v>116</v>
      </c>
      <c r="B25" s="16"/>
      <c r="C25" s="17"/>
      <c r="D25" s="17"/>
      <c r="E25" s="18"/>
      <c r="F25" s="18"/>
      <c r="G25" s="16"/>
      <c r="H25" s="14" t="str">
        <f>IF(AND(COUNT(C25:F25)=4,MIN(C25:F25)&gt;=0,OR(B25="Staff",B25="Management",B25="Specialist"),LEN(TRIM(G25))&gt;0,COUNT(Settings!$B$9:$B$11)=3,MIN(Settings!$B$9:$B$11)&gt;=0),"Ready","Complete blue inputs")</f>
        <v>Complete blue inputs</v>
      </c>
      <c r="I25" s="14" t="str">
        <f t="shared" si="0"/>
        <v/>
      </c>
      <c r="J25" s="14" t="str">
        <f t="shared" si="1"/>
        <v/>
      </c>
      <c r="K25" s="14" t="str">
        <f>IF(H25="Ready",C25*IF(B25="Staff",Settings!$B$9,IF(B25="Management",Settings!$B$10,Settings!$B$11))+D25*Settings!$B$11,"")</f>
        <v/>
      </c>
      <c r="L25" s="14" t="str">
        <f t="shared" si="2"/>
        <v/>
      </c>
    </row>
    <row r="26" spans="1:12" ht="43.9" customHeight="1">
      <c r="A26" s="15" t="s">
        <v>117</v>
      </c>
      <c r="B26" s="16"/>
      <c r="C26" s="17"/>
      <c r="D26" s="17"/>
      <c r="E26" s="18"/>
      <c r="F26" s="18"/>
      <c r="G26" s="16"/>
      <c r="H26" s="14" t="str">
        <f>IF(AND(COUNT(C26:F26)=4,MIN(C26:F26)&gt;=0,OR(B26="Staff",B26="Management",B26="Specialist"),LEN(TRIM(G26))&gt;0,COUNT(Settings!$B$9:$B$11)=3,MIN(Settings!$B$9:$B$11)&gt;=0),"Ready","Complete blue inputs")</f>
        <v>Complete blue inputs</v>
      </c>
      <c r="I26" s="14" t="str">
        <f t="shared" si="0"/>
        <v/>
      </c>
      <c r="J26" s="14" t="str">
        <f t="shared" si="1"/>
        <v/>
      </c>
      <c r="K26" s="14" t="str">
        <f>IF(H26="Ready",C26*IF(B26="Staff",Settings!$B$9,IF(B26="Management",Settings!$B$10,Settings!$B$11))+D26*Settings!$B$11,"")</f>
        <v/>
      </c>
      <c r="L26" s="14" t="str">
        <f t="shared" si="2"/>
        <v/>
      </c>
    </row>
    <row r="27" spans="1:12" ht="43.9" customHeight="1">
      <c r="A27" s="15" t="s">
        <v>118</v>
      </c>
      <c r="B27" s="16"/>
      <c r="C27" s="17"/>
      <c r="D27" s="17"/>
      <c r="E27" s="18"/>
      <c r="F27" s="18"/>
      <c r="G27" s="16"/>
      <c r="H27" s="14" t="str">
        <f>IF(AND(COUNT(C27:F27)=4,MIN(C27:F27)&gt;=0,OR(B27="Staff",B27="Management",B27="Specialist"),LEN(TRIM(G27))&gt;0,COUNT(Settings!$B$9:$B$11)=3,MIN(Settings!$B$9:$B$11)&gt;=0),"Ready","Complete blue inputs")</f>
        <v>Complete blue inputs</v>
      </c>
      <c r="I27" s="14" t="str">
        <f t="shared" si="0"/>
        <v/>
      </c>
      <c r="J27" s="14" t="str">
        <f t="shared" si="1"/>
        <v/>
      </c>
      <c r="K27" s="14" t="str">
        <f>IF(H27="Ready",C27*IF(B27="Staff",Settings!$B$9,IF(B27="Management",Settings!$B$10,Settings!$B$11))+D27*Settings!$B$11,"")</f>
        <v/>
      </c>
      <c r="L27" s="14" t="str">
        <f t="shared" si="2"/>
        <v/>
      </c>
    </row>
    <row r="28" spans="1:12" ht="43.9" customHeight="1">
      <c r="A28" s="15" t="s">
        <v>119</v>
      </c>
      <c r="B28" s="16"/>
      <c r="C28" s="17"/>
      <c r="D28" s="17"/>
      <c r="E28" s="18"/>
      <c r="F28" s="18"/>
      <c r="G28" s="16"/>
      <c r="H28" s="14" t="str">
        <f>IF(AND(COUNT(C28:F28)=4,MIN(C28:F28)&gt;=0,OR(B28="Staff",B28="Management",B28="Specialist"),LEN(TRIM(G28))&gt;0,COUNT(Settings!$B$9:$B$11)=3,MIN(Settings!$B$9:$B$11)&gt;=0),"Ready","Complete blue inputs")</f>
        <v>Complete blue inputs</v>
      </c>
      <c r="I28" s="14" t="str">
        <f t="shared" si="0"/>
        <v/>
      </c>
      <c r="J28" s="14" t="str">
        <f t="shared" si="1"/>
        <v/>
      </c>
      <c r="K28" s="14" t="str">
        <f>IF(H28="Ready",C28*IF(B28="Staff",Settings!$B$9,IF(B28="Management",Settings!$B$10,Settings!$B$11))+D28*Settings!$B$11,"")</f>
        <v/>
      </c>
      <c r="L28" s="14" t="str">
        <f t="shared" si="2"/>
        <v/>
      </c>
    </row>
    <row r="29" spans="1:12" ht="43.9" customHeight="1">
      <c r="A29" s="15" t="s">
        <v>120</v>
      </c>
      <c r="B29" s="16"/>
      <c r="C29" s="17"/>
      <c r="D29" s="17"/>
      <c r="E29" s="18"/>
      <c r="F29" s="18"/>
      <c r="G29" s="16"/>
      <c r="H29" s="14" t="str">
        <f>IF(AND(COUNT(C29:F29)=4,MIN(C29:F29)&gt;=0,OR(B29="Staff",B29="Management",B29="Specialist"),LEN(TRIM(G29))&gt;0,COUNT(Settings!$B$9:$B$11)=3,MIN(Settings!$B$9:$B$11)&gt;=0),"Ready","Complete blue inputs")</f>
        <v>Complete blue inputs</v>
      </c>
      <c r="I29" s="14" t="str">
        <f t="shared" si="0"/>
        <v/>
      </c>
      <c r="J29" s="14" t="str">
        <f t="shared" si="1"/>
        <v/>
      </c>
      <c r="K29" s="14" t="str">
        <f>IF(H29="Ready",C29*IF(B29="Staff",Settings!$B$9,IF(B29="Management",Settings!$B$10,Settings!$B$11))+D29*Settings!$B$11,"")</f>
        <v/>
      </c>
      <c r="L29" s="14" t="str">
        <f t="shared" si="2"/>
        <v/>
      </c>
    </row>
    <row r="30" spans="1:12" ht="43.9" customHeight="1">
      <c r="A30" s="15" t="s">
        <v>121</v>
      </c>
      <c r="B30" s="16"/>
      <c r="C30" s="17"/>
      <c r="D30" s="17"/>
      <c r="E30" s="18"/>
      <c r="F30" s="18"/>
      <c r="G30" s="16"/>
      <c r="H30" s="14" t="str">
        <f>IF(AND(COUNT(C30:F30)=4,MIN(C30:F30)&gt;=0,OR(B30="Staff",B30="Management",B30="Specialist"),LEN(TRIM(G30))&gt;0,COUNT(Settings!$B$9:$B$11)=3,MIN(Settings!$B$9:$B$11)&gt;=0),"Ready","Complete blue inputs")</f>
        <v>Complete blue inputs</v>
      </c>
      <c r="I30" s="14" t="str">
        <f t="shared" si="0"/>
        <v/>
      </c>
      <c r="J30" s="14" t="str">
        <f t="shared" si="1"/>
        <v/>
      </c>
      <c r="K30" s="14" t="str">
        <f>IF(H30="Ready",C30*IF(B30="Staff",Settings!$B$9,IF(B30="Management",Settings!$B$10,Settings!$B$11))+D30*Settings!$B$11,"")</f>
        <v/>
      </c>
      <c r="L30" s="14" t="str">
        <f t="shared" si="2"/>
        <v/>
      </c>
    </row>
    <row r="31" spans="1:12" ht="43.9" customHeight="1">
      <c r="A31" s="15" t="s">
        <v>122</v>
      </c>
      <c r="B31" s="16"/>
      <c r="C31" s="17"/>
      <c r="D31" s="17"/>
      <c r="E31" s="18"/>
      <c r="F31" s="18"/>
      <c r="G31" s="16"/>
      <c r="H31" s="14" t="str">
        <f>IF(AND(COUNT(C31:F31)=4,MIN(C31:F31)&gt;=0,OR(B31="Staff",B31="Management",B31="Specialist"),LEN(TRIM(G31))&gt;0,COUNT(Settings!$B$9:$B$11)=3,MIN(Settings!$B$9:$B$11)&gt;=0),"Ready","Complete blue inputs")</f>
        <v>Complete blue inputs</v>
      </c>
      <c r="I31" s="14" t="str">
        <f t="shared" si="0"/>
        <v/>
      </c>
      <c r="J31" s="14" t="str">
        <f t="shared" si="1"/>
        <v/>
      </c>
      <c r="K31" s="14" t="str">
        <f>IF(H31="Ready",C31*IF(B31="Staff",Settings!$B$9,IF(B31="Management",Settings!$B$10,Settings!$B$11))+D31*Settings!$B$11,"")</f>
        <v/>
      </c>
      <c r="L31" s="14" t="str">
        <f t="shared" si="2"/>
        <v/>
      </c>
    </row>
    <row r="32" spans="1:12" ht="43.9" customHeight="1">
      <c r="A32" s="15" t="s">
        <v>123</v>
      </c>
      <c r="B32" s="16"/>
      <c r="C32" s="17"/>
      <c r="D32" s="17"/>
      <c r="E32" s="18"/>
      <c r="F32" s="18"/>
      <c r="G32" s="16"/>
      <c r="H32" s="14" t="str">
        <f>IF(AND(COUNT(C32:F32)=4,MIN(C32:F32)&gt;=0,OR(B32="Staff",B32="Management",B32="Specialist"),LEN(TRIM(G32))&gt;0,COUNT(Settings!$B$9:$B$11)=3,MIN(Settings!$B$9:$B$11)&gt;=0),"Ready","Complete blue inputs")</f>
        <v>Complete blue inputs</v>
      </c>
      <c r="I32" s="14" t="str">
        <f t="shared" si="0"/>
        <v/>
      </c>
      <c r="J32" s="14" t="str">
        <f t="shared" si="1"/>
        <v/>
      </c>
      <c r="K32" s="14" t="str">
        <f>IF(H32="Ready",C32*IF(B32="Staff",Settings!$B$9,IF(B32="Management",Settings!$B$10,Settings!$B$11))+D32*Settings!$B$11,"")</f>
        <v/>
      </c>
      <c r="L32" s="14" t="str">
        <f t="shared" si="2"/>
        <v/>
      </c>
    </row>
    <row r="33" spans="1:12" ht="43.9" customHeight="1">
      <c r="A33" s="15" t="s">
        <v>124</v>
      </c>
      <c r="B33" s="16"/>
      <c r="C33" s="17"/>
      <c r="D33" s="17"/>
      <c r="E33" s="18"/>
      <c r="F33" s="18"/>
      <c r="G33" s="16"/>
      <c r="H33" s="14" t="str">
        <f>IF(AND(COUNT(C33:F33)=4,MIN(C33:F33)&gt;=0,OR(B33="Staff",B33="Management",B33="Specialist"),LEN(TRIM(G33))&gt;0,COUNT(Settings!$B$9:$B$11)=3,MIN(Settings!$B$9:$B$11)&gt;=0),"Ready","Complete blue inputs")</f>
        <v>Complete blue inputs</v>
      </c>
      <c r="I33" s="14" t="str">
        <f t="shared" si="0"/>
        <v/>
      </c>
      <c r="J33" s="14" t="str">
        <f t="shared" si="1"/>
        <v/>
      </c>
      <c r="K33" s="14" t="str">
        <f>IF(H33="Ready",C33*IF(B33="Staff",Settings!$B$9,IF(B33="Management",Settings!$B$10,Settings!$B$11))+D33*Settings!$B$11,"")</f>
        <v/>
      </c>
      <c r="L33" s="14" t="str">
        <f t="shared" si="2"/>
        <v/>
      </c>
    </row>
    <row r="34" spans="1:12" ht="43.9" customHeight="1">
      <c r="A34" s="15" t="s">
        <v>125</v>
      </c>
      <c r="B34" s="16"/>
      <c r="C34" s="17"/>
      <c r="D34" s="17"/>
      <c r="E34" s="18"/>
      <c r="F34" s="18"/>
      <c r="G34" s="16"/>
      <c r="H34" s="14" t="str">
        <f>IF(AND(COUNT(C34:F34)=4,MIN(C34:F34)&gt;=0,OR(B34="Staff",B34="Management",B34="Specialist"),LEN(TRIM(G34))&gt;0,COUNT(Settings!$B$9:$B$11)=3,MIN(Settings!$B$9:$B$11)&gt;=0),"Ready","Complete blue inputs")</f>
        <v>Complete blue inputs</v>
      </c>
      <c r="I34" s="14" t="str">
        <f t="shared" si="0"/>
        <v/>
      </c>
      <c r="J34" s="14" t="str">
        <f t="shared" si="1"/>
        <v/>
      </c>
      <c r="K34" s="14" t="str">
        <f>IF(H34="Ready",C34*IF(B34="Staff",Settings!$B$9,IF(B34="Management",Settings!$B$10,Settings!$B$11))+D34*Settings!$B$11,"")</f>
        <v/>
      </c>
      <c r="L34" s="14" t="str">
        <f t="shared" si="2"/>
        <v/>
      </c>
    </row>
    <row r="35" spans="1:12" ht="43.9" customHeight="1">
      <c r="A35" s="15" t="s">
        <v>126</v>
      </c>
      <c r="B35" s="16"/>
      <c r="C35" s="17"/>
      <c r="D35" s="17"/>
      <c r="E35" s="18"/>
      <c r="F35" s="18"/>
      <c r="G35" s="16"/>
      <c r="H35" s="14" t="str">
        <f>IF(AND(COUNT(C35:F35)=4,MIN(C35:F35)&gt;=0,OR(B35="Staff",B35="Management",B35="Specialist"),LEN(TRIM(G35))&gt;0,COUNT(Settings!$B$9:$B$11)=3,MIN(Settings!$B$9:$B$11)&gt;=0),"Ready","Complete blue inputs")</f>
        <v>Complete blue inputs</v>
      </c>
      <c r="I35" s="14" t="str">
        <f t="shared" si="0"/>
        <v/>
      </c>
      <c r="J35" s="14" t="str">
        <f t="shared" si="1"/>
        <v/>
      </c>
      <c r="K35" s="14" t="str">
        <f>IF(H35="Ready",C35*IF(B35="Staff",Settings!$B$9,IF(B35="Management",Settings!$B$10,Settings!$B$11))+D35*Settings!$B$11,"")</f>
        <v/>
      </c>
      <c r="L35" s="14" t="str">
        <f t="shared" si="2"/>
        <v/>
      </c>
    </row>
    <row r="36" spans="1:12" ht="43.9" customHeight="1">
      <c r="A36" s="15" t="s">
        <v>127</v>
      </c>
      <c r="B36" s="16"/>
      <c r="C36" s="17"/>
      <c r="D36" s="17"/>
      <c r="E36" s="18"/>
      <c r="F36" s="18"/>
      <c r="G36" s="16"/>
      <c r="H36" s="14" t="str">
        <f>IF(AND(COUNT(C36:F36)=4,MIN(C36:F36)&gt;=0,OR(B36="Staff",B36="Management",B36="Specialist"),LEN(TRIM(G36))&gt;0,COUNT(Settings!$B$9:$B$11)=3,MIN(Settings!$B$9:$B$11)&gt;=0),"Ready","Complete blue inputs")</f>
        <v>Complete blue inputs</v>
      </c>
      <c r="I36" s="14" t="str">
        <f t="shared" si="0"/>
        <v/>
      </c>
      <c r="J36" s="14" t="str">
        <f t="shared" si="1"/>
        <v/>
      </c>
      <c r="K36" s="14" t="str">
        <f>IF(H36="Ready",C36*IF(B36="Staff",Settings!$B$9,IF(B36="Management",Settings!$B$10,Settings!$B$11))+D36*Settings!$B$11,"")</f>
        <v/>
      </c>
      <c r="L36" s="14" t="str">
        <f t="shared" si="2"/>
        <v/>
      </c>
    </row>
    <row r="37" spans="1:12" ht="43.9" customHeight="1">
      <c r="A37" s="15" t="s">
        <v>128</v>
      </c>
      <c r="B37" s="16"/>
      <c r="C37" s="17"/>
      <c r="D37" s="17"/>
      <c r="E37" s="18"/>
      <c r="F37" s="18"/>
      <c r="G37" s="16"/>
      <c r="H37" s="14" t="str">
        <f>IF(AND(COUNT(C37:F37)=4,MIN(C37:F37)&gt;=0,OR(B37="Staff",B37="Management",B37="Specialist"),LEN(TRIM(G37))&gt;0,COUNT(Settings!$B$9:$B$11)=3,MIN(Settings!$B$9:$B$11)&gt;=0),"Ready","Complete blue inputs")</f>
        <v>Complete blue inputs</v>
      </c>
      <c r="I37" s="14" t="str">
        <f t="shared" si="0"/>
        <v/>
      </c>
      <c r="J37" s="14" t="str">
        <f t="shared" si="1"/>
        <v/>
      </c>
      <c r="K37" s="14" t="str">
        <f>IF(H37="Ready",C37*IF(B37="Staff",Settings!$B$9,IF(B37="Management",Settings!$B$10,Settings!$B$11))+D37*Settings!$B$11,"")</f>
        <v/>
      </c>
      <c r="L37" s="14" t="str">
        <f t="shared" si="2"/>
        <v/>
      </c>
    </row>
    <row r="38" spans="1:12" ht="43.9" customHeight="1">
      <c r="A38" s="15" t="s">
        <v>129</v>
      </c>
      <c r="B38" s="16"/>
      <c r="C38" s="17"/>
      <c r="D38" s="17"/>
      <c r="E38" s="18"/>
      <c r="F38" s="18"/>
      <c r="G38" s="16"/>
      <c r="H38" s="14" t="str">
        <f>IF(AND(COUNT(C38:F38)=4,MIN(C38:F38)&gt;=0,OR(B38="Staff",B38="Management",B38="Specialist"),LEN(TRIM(G38))&gt;0,COUNT(Settings!$B$9:$B$11)=3,MIN(Settings!$B$9:$B$11)&gt;=0),"Ready","Complete blue inputs")</f>
        <v>Complete blue inputs</v>
      </c>
      <c r="I38" s="14" t="str">
        <f t="shared" si="0"/>
        <v/>
      </c>
      <c r="J38" s="14" t="str">
        <f t="shared" si="1"/>
        <v/>
      </c>
      <c r="K38" s="14" t="str">
        <f>IF(H38="Ready",C38*IF(B38="Staff",Settings!$B$9,IF(B38="Management",Settings!$B$10,Settings!$B$11))+D38*Settings!$B$11,"")</f>
        <v/>
      </c>
      <c r="L38" s="14" t="str">
        <f t="shared" si="2"/>
        <v/>
      </c>
    </row>
    <row r="39" spans="1:12" ht="43.9" customHeight="1">
      <c r="A39" s="15" t="s">
        <v>130</v>
      </c>
      <c r="B39" s="16"/>
      <c r="C39" s="17"/>
      <c r="D39" s="17"/>
      <c r="E39" s="18"/>
      <c r="F39" s="18"/>
      <c r="G39" s="16"/>
      <c r="H39" s="14" t="str">
        <f>IF(AND(COUNT(C39:F39)=4,MIN(C39:F39)&gt;=0,OR(B39="Staff",B39="Management",B39="Specialist"),LEN(TRIM(G39))&gt;0,COUNT(Settings!$B$9:$B$11)=3,MIN(Settings!$B$9:$B$11)&gt;=0),"Ready","Complete blue inputs")</f>
        <v>Complete blue inputs</v>
      </c>
      <c r="I39" s="14" t="str">
        <f t="shared" ref="I39:I56" si="3">IF(H39="Ready",IF(B39="Specialist",0,C39),"")</f>
        <v/>
      </c>
      <c r="J39" s="14" t="str">
        <f t="shared" ref="J39:J56" si="4">IF(H39="Ready",D39+IF(B39="Specialist",C39,0),"")</f>
        <v/>
      </c>
      <c r="K39" s="14" t="str">
        <f>IF(H39="Ready",C39*IF(B39="Staff",Settings!$B$9,IF(B39="Management",Settings!$B$10,Settings!$B$11))+D39*Settings!$B$11,"")</f>
        <v/>
      </c>
      <c r="L39" s="14" t="str">
        <f t="shared" ref="L39:L56" si="5">IF(H39="Ready",K39+E39,"")</f>
        <v/>
      </c>
    </row>
    <row r="40" spans="1:12" ht="43.9" customHeight="1">
      <c r="A40" s="15" t="s">
        <v>131</v>
      </c>
      <c r="B40" s="16"/>
      <c r="C40" s="17"/>
      <c r="D40" s="17"/>
      <c r="E40" s="18"/>
      <c r="F40" s="18"/>
      <c r="G40" s="16"/>
      <c r="H40" s="14" t="str">
        <f>IF(AND(COUNT(C40:F40)=4,MIN(C40:F40)&gt;=0,OR(B40="Staff",B40="Management",B40="Specialist"),LEN(TRIM(G40))&gt;0,COUNT(Settings!$B$9:$B$11)=3,MIN(Settings!$B$9:$B$11)&gt;=0),"Ready","Complete blue inputs")</f>
        <v>Complete blue inputs</v>
      </c>
      <c r="I40" s="14" t="str">
        <f t="shared" si="3"/>
        <v/>
      </c>
      <c r="J40" s="14" t="str">
        <f t="shared" si="4"/>
        <v/>
      </c>
      <c r="K40" s="14" t="str">
        <f>IF(H40="Ready",C40*IF(B40="Staff",Settings!$B$9,IF(B40="Management",Settings!$B$10,Settings!$B$11))+D40*Settings!$B$11,"")</f>
        <v/>
      </c>
      <c r="L40" s="14" t="str">
        <f t="shared" si="5"/>
        <v/>
      </c>
    </row>
    <row r="41" spans="1:12" ht="43.9" customHeight="1">
      <c r="A41" s="15" t="s">
        <v>132</v>
      </c>
      <c r="B41" s="16"/>
      <c r="C41" s="17"/>
      <c r="D41" s="17"/>
      <c r="E41" s="18"/>
      <c r="F41" s="18"/>
      <c r="G41" s="16"/>
      <c r="H41" s="14" t="str">
        <f>IF(AND(COUNT(C41:F41)=4,MIN(C41:F41)&gt;=0,OR(B41="Staff",B41="Management",B41="Specialist"),LEN(TRIM(G41))&gt;0,COUNT(Settings!$B$9:$B$11)=3,MIN(Settings!$B$9:$B$11)&gt;=0),"Ready","Complete blue inputs")</f>
        <v>Complete blue inputs</v>
      </c>
      <c r="I41" s="14" t="str">
        <f t="shared" si="3"/>
        <v/>
      </c>
      <c r="J41" s="14" t="str">
        <f t="shared" si="4"/>
        <v/>
      </c>
      <c r="K41" s="14" t="str">
        <f>IF(H41="Ready",C41*IF(B41="Staff",Settings!$B$9,IF(B41="Management",Settings!$B$10,Settings!$B$11))+D41*Settings!$B$11,"")</f>
        <v/>
      </c>
      <c r="L41" s="14" t="str">
        <f t="shared" si="5"/>
        <v/>
      </c>
    </row>
    <row r="42" spans="1:12" ht="43.9" customHeight="1">
      <c r="A42" s="15" t="s">
        <v>133</v>
      </c>
      <c r="B42" s="16"/>
      <c r="C42" s="17"/>
      <c r="D42" s="17"/>
      <c r="E42" s="18"/>
      <c r="F42" s="18"/>
      <c r="G42" s="16"/>
      <c r="H42" s="14" t="str">
        <f>IF(AND(COUNT(C42:F42)=4,MIN(C42:F42)&gt;=0,OR(B42="Staff",B42="Management",B42="Specialist"),LEN(TRIM(G42))&gt;0,COUNT(Settings!$B$9:$B$11)=3,MIN(Settings!$B$9:$B$11)&gt;=0),"Ready","Complete blue inputs")</f>
        <v>Complete blue inputs</v>
      </c>
      <c r="I42" s="14" t="str">
        <f t="shared" si="3"/>
        <v/>
      </c>
      <c r="J42" s="14" t="str">
        <f t="shared" si="4"/>
        <v/>
      </c>
      <c r="K42" s="14" t="str">
        <f>IF(H42="Ready",C42*IF(B42="Staff",Settings!$B$9,IF(B42="Management",Settings!$B$10,Settings!$B$11))+D42*Settings!$B$11,"")</f>
        <v/>
      </c>
      <c r="L42" s="14" t="str">
        <f t="shared" si="5"/>
        <v/>
      </c>
    </row>
    <row r="43" spans="1:12" ht="43.9" customHeight="1">
      <c r="A43" s="15" t="s">
        <v>134</v>
      </c>
      <c r="B43" s="16"/>
      <c r="C43" s="17"/>
      <c r="D43" s="17"/>
      <c r="E43" s="18"/>
      <c r="F43" s="18"/>
      <c r="G43" s="16"/>
      <c r="H43" s="14" t="str">
        <f>IF(AND(COUNT(C43:F43)=4,MIN(C43:F43)&gt;=0,OR(B43="Staff",B43="Management",B43="Specialist"),LEN(TRIM(G43))&gt;0,COUNT(Settings!$B$9:$B$11)=3,MIN(Settings!$B$9:$B$11)&gt;=0),"Ready","Complete blue inputs")</f>
        <v>Complete blue inputs</v>
      </c>
      <c r="I43" s="14" t="str">
        <f t="shared" si="3"/>
        <v/>
      </c>
      <c r="J43" s="14" t="str">
        <f t="shared" si="4"/>
        <v/>
      </c>
      <c r="K43" s="14" t="str">
        <f>IF(H43="Ready",C43*IF(B43="Staff",Settings!$B$9,IF(B43="Management",Settings!$B$10,Settings!$B$11))+D43*Settings!$B$11,"")</f>
        <v/>
      </c>
      <c r="L43" s="14" t="str">
        <f t="shared" si="5"/>
        <v/>
      </c>
    </row>
    <row r="44" spans="1:12" ht="43.9" customHeight="1">
      <c r="A44" s="15" t="s">
        <v>135</v>
      </c>
      <c r="B44" s="16"/>
      <c r="C44" s="17"/>
      <c r="D44" s="17"/>
      <c r="E44" s="18"/>
      <c r="F44" s="18"/>
      <c r="G44" s="16"/>
      <c r="H44" s="14" t="str">
        <f>IF(AND(COUNT(C44:F44)=4,MIN(C44:F44)&gt;=0,OR(B44="Staff",B44="Management",B44="Specialist"),LEN(TRIM(G44))&gt;0,COUNT(Settings!$B$9:$B$11)=3,MIN(Settings!$B$9:$B$11)&gt;=0),"Ready","Complete blue inputs")</f>
        <v>Complete blue inputs</v>
      </c>
      <c r="I44" s="14" t="str">
        <f t="shared" si="3"/>
        <v/>
      </c>
      <c r="J44" s="14" t="str">
        <f t="shared" si="4"/>
        <v/>
      </c>
      <c r="K44" s="14" t="str">
        <f>IF(H44="Ready",C44*IF(B44="Staff",Settings!$B$9,IF(B44="Management",Settings!$B$10,Settings!$B$11))+D44*Settings!$B$11,"")</f>
        <v/>
      </c>
      <c r="L44" s="14" t="str">
        <f t="shared" si="5"/>
        <v/>
      </c>
    </row>
    <row r="45" spans="1:12" ht="43.9" customHeight="1">
      <c r="A45" s="15" t="s">
        <v>136</v>
      </c>
      <c r="B45" s="16"/>
      <c r="C45" s="17"/>
      <c r="D45" s="17"/>
      <c r="E45" s="18"/>
      <c r="F45" s="18"/>
      <c r="G45" s="16"/>
      <c r="H45" s="14" t="str">
        <f>IF(AND(COUNT(C45:F45)=4,MIN(C45:F45)&gt;=0,OR(B45="Staff",B45="Management",B45="Specialist"),LEN(TRIM(G45))&gt;0,COUNT(Settings!$B$9:$B$11)=3,MIN(Settings!$B$9:$B$11)&gt;=0),"Ready","Complete blue inputs")</f>
        <v>Complete blue inputs</v>
      </c>
      <c r="I45" s="14" t="str">
        <f t="shared" si="3"/>
        <v/>
      </c>
      <c r="J45" s="14" t="str">
        <f t="shared" si="4"/>
        <v/>
      </c>
      <c r="K45" s="14" t="str">
        <f>IF(H45="Ready",C45*IF(B45="Staff",Settings!$B$9,IF(B45="Management",Settings!$B$10,Settings!$B$11))+D45*Settings!$B$11,"")</f>
        <v/>
      </c>
      <c r="L45" s="14" t="str">
        <f t="shared" si="5"/>
        <v/>
      </c>
    </row>
    <row r="46" spans="1:12" ht="43.9" customHeight="1">
      <c r="A46" s="15" t="s">
        <v>137</v>
      </c>
      <c r="B46" s="16"/>
      <c r="C46" s="17"/>
      <c r="D46" s="17"/>
      <c r="E46" s="18"/>
      <c r="F46" s="18"/>
      <c r="G46" s="16"/>
      <c r="H46" s="14" t="str">
        <f>IF(AND(COUNT(C46:F46)=4,MIN(C46:F46)&gt;=0,OR(B46="Staff",B46="Management",B46="Specialist"),LEN(TRIM(G46))&gt;0,COUNT(Settings!$B$9:$B$11)=3,MIN(Settings!$B$9:$B$11)&gt;=0),"Ready","Complete blue inputs")</f>
        <v>Complete blue inputs</v>
      </c>
      <c r="I46" s="14" t="str">
        <f t="shared" si="3"/>
        <v/>
      </c>
      <c r="J46" s="14" t="str">
        <f t="shared" si="4"/>
        <v/>
      </c>
      <c r="K46" s="14" t="str">
        <f>IF(H46="Ready",C46*IF(B46="Staff",Settings!$B$9,IF(B46="Management",Settings!$B$10,Settings!$B$11))+D46*Settings!$B$11,"")</f>
        <v/>
      </c>
      <c r="L46" s="14" t="str">
        <f t="shared" si="5"/>
        <v/>
      </c>
    </row>
    <row r="47" spans="1:12" ht="43.9" customHeight="1">
      <c r="A47" s="15" t="s">
        <v>138</v>
      </c>
      <c r="B47" s="16"/>
      <c r="C47" s="17"/>
      <c r="D47" s="17"/>
      <c r="E47" s="18"/>
      <c r="F47" s="18"/>
      <c r="G47" s="16"/>
      <c r="H47" s="14" t="str">
        <f>IF(AND(COUNT(C47:F47)=4,MIN(C47:F47)&gt;=0,OR(B47="Staff",B47="Management",B47="Specialist"),LEN(TRIM(G47))&gt;0,COUNT(Settings!$B$9:$B$11)=3,MIN(Settings!$B$9:$B$11)&gt;=0),"Ready","Complete blue inputs")</f>
        <v>Complete blue inputs</v>
      </c>
      <c r="I47" s="14" t="str">
        <f t="shared" si="3"/>
        <v/>
      </c>
      <c r="J47" s="14" t="str">
        <f t="shared" si="4"/>
        <v/>
      </c>
      <c r="K47" s="14" t="str">
        <f>IF(H47="Ready",C47*IF(B47="Staff",Settings!$B$9,IF(B47="Management",Settings!$B$10,Settings!$B$11))+D47*Settings!$B$11,"")</f>
        <v/>
      </c>
      <c r="L47" s="14" t="str">
        <f t="shared" si="5"/>
        <v/>
      </c>
    </row>
    <row r="48" spans="1:12" ht="43.9" customHeight="1">
      <c r="A48" s="15" t="s">
        <v>139</v>
      </c>
      <c r="B48" s="16"/>
      <c r="C48" s="17"/>
      <c r="D48" s="17"/>
      <c r="E48" s="18"/>
      <c r="F48" s="18"/>
      <c r="G48" s="16"/>
      <c r="H48" s="14" t="str">
        <f>IF(AND(COUNT(C48:F48)=4,MIN(C48:F48)&gt;=0,OR(B48="Staff",B48="Management",B48="Specialist"),LEN(TRIM(G48))&gt;0,COUNT(Settings!$B$9:$B$11)=3,MIN(Settings!$B$9:$B$11)&gt;=0),"Ready","Complete blue inputs")</f>
        <v>Complete blue inputs</v>
      </c>
      <c r="I48" s="14" t="str">
        <f t="shared" si="3"/>
        <v/>
      </c>
      <c r="J48" s="14" t="str">
        <f t="shared" si="4"/>
        <v/>
      </c>
      <c r="K48" s="14" t="str">
        <f>IF(H48="Ready",C48*IF(B48="Staff",Settings!$B$9,IF(B48="Management",Settings!$B$10,Settings!$B$11))+D48*Settings!$B$11,"")</f>
        <v/>
      </c>
      <c r="L48" s="14" t="str">
        <f t="shared" si="5"/>
        <v/>
      </c>
    </row>
    <row r="49" spans="1:12" ht="43.9" customHeight="1">
      <c r="A49" s="15" t="s">
        <v>140</v>
      </c>
      <c r="B49" s="16"/>
      <c r="C49" s="17"/>
      <c r="D49" s="17"/>
      <c r="E49" s="18"/>
      <c r="F49" s="18"/>
      <c r="G49" s="16"/>
      <c r="H49" s="14" t="str">
        <f>IF(AND(COUNT(C49:F49)=4,MIN(C49:F49)&gt;=0,OR(B49="Staff",B49="Management",B49="Specialist"),LEN(TRIM(G49))&gt;0,COUNT(Settings!$B$9:$B$11)=3,MIN(Settings!$B$9:$B$11)&gt;=0),"Ready","Complete blue inputs")</f>
        <v>Complete blue inputs</v>
      </c>
      <c r="I49" s="14" t="str">
        <f t="shared" si="3"/>
        <v/>
      </c>
      <c r="J49" s="14" t="str">
        <f t="shared" si="4"/>
        <v/>
      </c>
      <c r="K49" s="14" t="str">
        <f>IF(H49="Ready",C49*IF(B49="Staff",Settings!$B$9,IF(B49="Management",Settings!$B$10,Settings!$B$11))+D49*Settings!$B$11,"")</f>
        <v/>
      </c>
      <c r="L49" s="14" t="str">
        <f t="shared" si="5"/>
        <v/>
      </c>
    </row>
    <row r="50" spans="1:12" ht="43.9" customHeight="1">
      <c r="A50" s="15" t="s">
        <v>141</v>
      </c>
      <c r="B50" s="16"/>
      <c r="C50" s="17"/>
      <c r="D50" s="17"/>
      <c r="E50" s="18"/>
      <c r="F50" s="18"/>
      <c r="G50" s="16"/>
      <c r="H50" s="14" t="str">
        <f>IF(AND(COUNT(C50:F50)=4,MIN(C50:F50)&gt;=0,OR(B50="Staff",B50="Management",B50="Specialist"),LEN(TRIM(G50))&gt;0,COUNT(Settings!$B$9:$B$11)=3,MIN(Settings!$B$9:$B$11)&gt;=0),"Ready","Complete blue inputs")</f>
        <v>Complete blue inputs</v>
      </c>
      <c r="I50" s="14" t="str">
        <f t="shared" si="3"/>
        <v/>
      </c>
      <c r="J50" s="14" t="str">
        <f t="shared" si="4"/>
        <v/>
      </c>
      <c r="K50" s="14" t="str">
        <f>IF(H50="Ready",C50*IF(B50="Staff",Settings!$B$9,IF(B50="Management",Settings!$B$10,Settings!$B$11))+D50*Settings!$B$11,"")</f>
        <v/>
      </c>
      <c r="L50" s="14" t="str">
        <f t="shared" si="5"/>
        <v/>
      </c>
    </row>
    <row r="51" spans="1:12" ht="43.9" customHeight="1">
      <c r="A51" s="15" t="s">
        <v>142</v>
      </c>
      <c r="B51" s="16"/>
      <c r="C51" s="17"/>
      <c r="D51" s="17"/>
      <c r="E51" s="18"/>
      <c r="F51" s="18"/>
      <c r="G51" s="16"/>
      <c r="H51" s="14" t="str">
        <f>IF(AND(COUNT(C51:F51)=4,MIN(C51:F51)&gt;=0,OR(B51="Staff",B51="Management",B51="Specialist"),LEN(TRIM(G51))&gt;0,COUNT(Settings!$B$9:$B$11)=3,MIN(Settings!$B$9:$B$11)&gt;=0),"Ready","Complete blue inputs")</f>
        <v>Complete blue inputs</v>
      </c>
      <c r="I51" s="14" t="str">
        <f t="shared" si="3"/>
        <v/>
      </c>
      <c r="J51" s="14" t="str">
        <f t="shared" si="4"/>
        <v/>
      </c>
      <c r="K51" s="14" t="str">
        <f>IF(H51="Ready",C51*IF(B51="Staff",Settings!$B$9,IF(B51="Management",Settings!$B$10,Settings!$B$11))+D51*Settings!$B$11,"")</f>
        <v/>
      </c>
      <c r="L51" s="14" t="str">
        <f t="shared" si="5"/>
        <v/>
      </c>
    </row>
    <row r="52" spans="1:12" ht="43.9" customHeight="1">
      <c r="A52" s="15" t="s">
        <v>143</v>
      </c>
      <c r="B52" s="16"/>
      <c r="C52" s="17"/>
      <c r="D52" s="17"/>
      <c r="E52" s="18"/>
      <c r="F52" s="18"/>
      <c r="G52" s="16"/>
      <c r="H52" s="14" t="str">
        <f>IF(AND(COUNT(C52:F52)=4,MIN(C52:F52)&gt;=0,OR(B52="Staff",B52="Management",B52="Specialist"),LEN(TRIM(G52))&gt;0,COUNT(Settings!$B$9:$B$11)=3,MIN(Settings!$B$9:$B$11)&gt;=0),"Ready","Complete blue inputs")</f>
        <v>Complete blue inputs</v>
      </c>
      <c r="I52" s="14" t="str">
        <f t="shared" si="3"/>
        <v/>
      </c>
      <c r="J52" s="14" t="str">
        <f t="shared" si="4"/>
        <v/>
      </c>
      <c r="K52" s="14" t="str">
        <f>IF(H52="Ready",C52*IF(B52="Staff",Settings!$B$9,IF(B52="Management",Settings!$B$10,Settings!$B$11))+D52*Settings!$B$11,"")</f>
        <v/>
      </c>
      <c r="L52" s="14" t="str">
        <f t="shared" si="5"/>
        <v/>
      </c>
    </row>
    <row r="53" spans="1:12" ht="43.9" customHeight="1">
      <c r="A53" s="15" t="s">
        <v>144</v>
      </c>
      <c r="B53" s="16"/>
      <c r="C53" s="17"/>
      <c r="D53" s="17"/>
      <c r="E53" s="18"/>
      <c r="F53" s="18"/>
      <c r="G53" s="16"/>
      <c r="H53" s="14" t="str">
        <f>IF(AND(COUNT(C53:F53)=4,MIN(C53:F53)&gt;=0,OR(B53="Staff",B53="Management",B53="Specialist"),LEN(TRIM(G53))&gt;0,COUNT(Settings!$B$9:$B$11)=3,MIN(Settings!$B$9:$B$11)&gt;=0),"Ready","Complete blue inputs")</f>
        <v>Complete blue inputs</v>
      </c>
      <c r="I53" s="14" t="str">
        <f t="shared" si="3"/>
        <v/>
      </c>
      <c r="J53" s="14" t="str">
        <f t="shared" si="4"/>
        <v/>
      </c>
      <c r="K53" s="14" t="str">
        <f>IF(H53="Ready",C53*IF(B53="Staff",Settings!$B$9,IF(B53="Management",Settings!$B$10,Settings!$B$11))+D53*Settings!$B$11,"")</f>
        <v/>
      </c>
      <c r="L53" s="14" t="str">
        <f t="shared" si="5"/>
        <v/>
      </c>
    </row>
    <row r="54" spans="1:12" ht="43.9" customHeight="1">
      <c r="A54" s="15" t="s">
        <v>145</v>
      </c>
      <c r="B54" s="16"/>
      <c r="C54" s="17"/>
      <c r="D54" s="17"/>
      <c r="E54" s="18"/>
      <c r="F54" s="18"/>
      <c r="G54" s="16"/>
      <c r="H54" s="14" t="str">
        <f>IF(AND(COUNT(C54:F54)=4,MIN(C54:F54)&gt;=0,OR(B54="Staff",B54="Management",B54="Specialist"),LEN(TRIM(G54))&gt;0,COUNT(Settings!$B$9:$B$11)=3,MIN(Settings!$B$9:$B$11)&gt;=0),"Ready","Complete blue inputs")</f>
        <v>Complete blue inputs</v>
      </c>
      <c r="I54" s="14" t="str">
        <f t="shared" si="3"/>
        <v/>
      </c>
      <c r="J54" s="14" t="str">
        <f t="shared" si="4"/>
        <v/>
      </c>
      <c r="K54" s="14" t="str">
        <f>IF(H54="Ready",C54*IF(B54="Staff",Settings!$B$9,IF(B54="Management",Settings!$B$10,Settings!$B$11))+D54*Settings!$B$11,"")</f>
        <v/>
      </c>
      <c r="L54" s="14" t="str">
        <f t="shared" si="5"/>
        <v/>
      </c>
    </row>
    <row r="55" spans="1:12" ht="43.9" customHeight="1">
      <c r="A55" s="15" t="s">
        <v>146</v>
      </c>
      <c r="B55" s="16"/>
      <c r="C55" s="17"/>
      <c r="D55" s="17"/>
      <c r="E55" s="18"/>
      <c r="F55" s="18"/>
      <c r="G55" s="16"/>
      <c r="H55" s="14" t="str">
        <f>IF(AND(COUNT(C55:F55)=4,MIN(C55:F55)&gt;=0,OR(B55="Staff",B55="Management",B55="Specialist"),LEN(TRIM(G55))&gt;0,COUNT(Settings!$B$9:$B$11)=3,MIN(Settings!$B$9:$B$11)&gt;=0),"Ready","Complete blue inputs")</f>
        <v>Complete blue inputs</v>
      </c>
      <c r="I55" s="14" t="str">
        <f t="shared" si="3"/>
        <v/>
      </c>
      <c r="J55" s="14" t="str">
        <f t="shared" si="4"/>
        <v/>
      </c>
      <c r="K55" s="14" t="str">
        <f>IF(H55="Ready",C55*IF(B55="Staff",Settings!$B$9,IF(B55="Management",Settings!$B$10,Settings!$B$11))+D55*Settings!$B$11,"")</f>
        <v/>
      </c>
      <c r="L55" s="14" t="str">
        <f t="shared" si="5"/>
        <v/>
      </c>
    </row>
    <row r="56" spans="1:12" ht="43.9" customHeight="1">
      <c r="A56" s="15" t="s">
        <v>147</v>
      </c>
      <c r="B56" s="16"/>
      <c r="C56" s="17"/>
      <c r="D56" s="17"/>
      <c r="E56" s="18"/>
      <c r="F56" s="18"/>
      <c r="G56" s="16"/>
      <c r="H56" s="14" t="str">
        <f>IF(AND(COUNT(C56:F56)=4,MIN(C56:F56)&gt;=0,OR(B56="Staff",B56="Management",B56="Specialist"),LEN(TRIM(G56))&gt;0,COUNT(Settings!$B$9:$B$11)=3,MIN(Settings!$B$9:$B$11)&gt;=0),"Ready","Complete blue inputs")</f>
        <v>Complete blue inputs</v>
      </c>
      <c r="I56" s="14" t="str">
        <f t="shared" si="3"/>
        <v/>
      </c>
      <c r="J56" s="14" t="str">
        <f t="shared" si="4"/>
        <v/>
      </c>
      <c r="K56" s="14" t="str">
        <f>IF(H56="Ready",C56*IF(B56="Staff",Settings!$B$9,IF(B56="Management",Settings!$B$10,Settings!$B$11))+D56*Settings!$B$11,"")</f>
        <v/>
      </c>
      <c r="L56" s="14" t="str">
        <f t="shared" si="5"/>
        <v/>
      </c>
    </row>
    <row r="57" spans="1:12" ht="22.9" customHeight="1">
      <c r="A57" s="1"/>
      <c r="B57" s="1"/>
      <c r="C57" s="1"/>
      <c r="D57" s="1"/>
      <c r="E57" s="1"/>
      <c r="F57" s="1"/>
      <c r="G57" s="1"/>
      <c r="H57" s="1"/>
      <c r="I57" s="1"/>
      <c r="J57" s="1"/>
      <c r="K57" s="1"/>
      <c r="L57" s="1"/>
    </row>
    <row r="58" spans="1:12" ht="22.9" customHeight="1">
      <c r="A58" s="1"/>
      <c r="B58" s="1"/>
      <c r="C58" s="1"/>
      <c r="D58" s="1"/>
      <c r="E58" s="1"/>
      <c r="F58" s="1"/>
      <c r="G58" s="1"/>
      <c r="H58" s="1"/>
      <c r="I58" s="1"/>
      <c r="J58" s="1"/>
      <c r="K58" s="1"/>
      <c r="L58" s="1"/>
    </row>
    <row r="59" spans="1:12" ht="22.9" customHeight="1">
      <c r="A59" s="1"/>
      <c r="B59" s="1"/>
      <c r="C59" s="1"/>
      <c r="D59" s="1"/>
      <c r="E59" s="1"/>
      <c r="F59" s="1"/>
      <c r="G59" s="1"/>
      <c r="H59" s="1"/>
      <c r="I59" s="1"/>
      <c r="J59" s="1"/>
      <c r="K59" s="1"/>
      <c r="L59" s="1"/>
    </row>
    <row r="60" spans="1:12" ht="22.9" customHeight="1">
      <c r="A60" s="1"/>
      <c r="B60" s="1"/>
      <c r="C60" s="1"/>
      <c r="D60" s="1"/>
      <c r="E60" s="1"/>
      <c r="F60" s="1"/>
      <c r="G60" s="1"/>
      <c r="H60" s="1"/>
      <c r="I60" s="1"/>
      <c r="J60" s="1"/>
      <c r="K60" s="1"/>
      <c r="L60" s="1"/>
    </row>
    <row r="61" spans="1:12" ht="22.9" customHeight="1">
      <c r="A61" s="1"/>
      <c r="B61" s="1"/>
      <c r="C61" s="1"/>
      <c r="D61" s="1"/>
      <c r="E61" s="1"/>
      <c r="F61" s="1"/>
      <c r="G61" s="1"/>
      <c r="H61" s="1"/>
      <c r="I61" s="1"/>
      <c r="J61" s="1"/>
      <c r="K61" s="1"/>
      <c r="L61" s="1"/>
    </row>
    <row r="62" spans="1:12" ht="22.9" customHeight="1">
      <c r="A62" s="1"/>
      <c r="B62" s="1"/>
      <c r="C62" s="1"/>
      <c r="D62" s="1"/>
      <c r="E62" s="1"/>
      <c r="F62" s="1"/>
      <c r="G62" s="1"/>
      <c r="H62" s="1"/>
      <c r="I62" s="1"/>
      <c r="J62" s="1"/>
      <c r="K62" s="1"/>
      <c r="L62" s="1"/>
    </row>
    <row r="63" spans="1:12" ht="22.9" customHeight="1">
      <c r="A63" s="1"/>
      <c r="B63" s="1"/>
      <c r="C63" s="1"/>
      <c r="D63" s="1"/>
      <c r="E63" s="1"/>
      <c r="F63" s="1"/>
      <c r="G63" s="1"/>
      <c r="H63" s="1"/>
      <c r="I63" s="1"/>
      <c r="J63" s="1"/>
      <c r="K63" s="1"/>
      <c r="L63" s="1"/>
    </row>
    <row r="64" spans="1:12" ht="22.9" customHeight="1">
      <c r="A64" s="1"/>
      <c r="B64" s="1"/>
      <c r="C64" s="1"/>
      <c r="D64" s="1"/>
      <c r="E64" s="1"/>
      <c r="F64" s="1"/>
      <c r="G64" s="1"/>
      <c r="H64" s="1"/>
      <c r="I64" s="1"/>
      <c r="J64" s="1"/>
      <c r="K64" s="1"/>
      <c r="L64" s="1"/>
    </row>
    <row r="65" spans="1:12" ht="22.9" customHeight="1">
      <c r="A65" s="1"/>
      <c r="B65" s="1"/>
      <c r="C65" s="1"/>
      <c r="D65" s="1"/>
      <c r="E65" s="1"/>
      <c r="F65" s="1"/>
      <c r="G65" s="1"/>
      <c r="H65" s="1"/>
      <c r="I65" s="1"/>
      <c r="J65" s="1"/>
      <c r="K65" s="1"/>
      <c r="L65" s="1"/>
    </row>
    <row r="66" spans="1:12" ht="22.9" customHeight="1">
      <c r="A66" s="1"/>
      <c r="B66" s="1"/>
      <c r="C66" s="1"/>
      <c r="D66" s="1"/>
      <c r="E66" s="1"/>
      <c r="F66" s="1"/>
      <c r="G66" s="1"/>
      <c r="H66" s="1"/>
      <c r="I66" s="1"/>
      <c r="J66" s="1"/>
      <c r="K66" s="1"/>
      <c r="L66" s="1"/>
    </row>
    <row r="67" spans="1:12" ht="22.9" customHeight="1">
      <c r="A67" s="1"/>
      <c r="B67" s="1"/>
      <c r="C67" s="1"/>
      <c r="D67" s="1"/>
      <c r="E67" s="1"/>
      <c r="F67" s="1"/>
      <c r="G67" s="1"/>
      <c r="H67" s="1"/>
      <c r="I67" s="1"/>
      <c r="J67" s="1"/>
      <c r="K67" s="1"/>
      <c r="L67" s="1"/>
    </row>
    <row r="68" spans="1:12" ht="22.9" customHeight="1">
      <c r="A68" s="1"/>
      <c r="B68" s="1"/>
      <c r="C68" s="1"/>
      <c r="D68" s="1"/>
      <c r="E68" s="1"/>
      <c r="F68" s="1"/>
      <c r="G68" s="1"/>
      <c r="H68" s="1"/>
      <c r="I68" s="1"/>
      <c r="J68" s="1"/>
      <c r="K68" s="1"/>
      <c r="L68" s="1"/>
    </row>
    <row r="69" spans="1:12" ht="22.9" customHeight="1">
      <c r="A69" s="1"/>
      <c r="B69" s="1"/>
      <c r="C69" s="1"/>
      <c r="D69" s="1"/>
      <c r="E69" s="1"/>
      <c r="F69" s="1"/>
      <c r="G69" s="1"/>
      <c r="H69" s="1"/>
      <c r="I69" s="1"/>
      <c r="J69" s="1"/>
      <c r="K69" s="1"/>
      <c r="L69" s="1"/>
    </row>
    <row r="70" spans="1:12" ht="22.9" customHeight="1">
      <c r="A70" s="1"/>
      <c r="B70" s="1"/>
      <c r="C70" s="1"/>
      <c r="D70" s="1"/>
      <c r="E70" s="1"/>
      <c r="F70" s="1"/>
      <c r="G70" s="1"/>
      <c r="H70" s="1"/>
      <c r="I70" s="1"/>
      <c r="J70" s="1"/>
      <c r="K70" s="1"/>
      <c r="L70" s="1"/>
    </row>
    <row r="71" spans="1:12" ht="22.9" customHeight="1">
      <c r="A71" s="1"/>
      <c r="B71" s="1"/>
      <c r="C71" s="1"/>
      <c r="D71" s="1"/>
      <c r="E71" s="1"/>
      <c r="F71" s="1"/>
      <c r="G71" s="1"/>
      <c r="H71" s="1"/>
      <c r="I71" s="1"/>
      <c r="J71" s="1"/>
      <c r="K71" s="1"/>
      <c r="L71" s="1"/>
    </row>
    <row r="72" spans="1:12" ht="22.9" customHeight="1">
      <c r="A72" s="1"/>
      <c r="B72" s="1"/>
      <c r="C72" s="1"/>
      <c r="D72" s="1"/>
      <c r="E72" s="1"/>
      <c r="F72" s="1"/>
      <c r="G72" s="1"/>
      <c r="H72" s="1"/>
      <c r="I72" s="1"/>
      <c r="J72" s="1"/>
      <c r="K72" s="1"/>
      <c r="L72" s="1"/>
    </row>
    <row r="73" spans="1:12" ht="22.9" customHeight="1">
      <c r="A73" s="1"/>
      <c r="B73" s="1"/>
      <c r="C73" s="1"/>
      <c r="D73" s="1"/>
      <c r="E73" s="1"/>
      <c r="F73" s="1"/>
      <c r="G73" s="1"/>
      <c r="H73" s="1"/>
      <c r="I73" s="1"/>
      <c r="J73" s="1"/>
      <c r="K73" s="1"/>
      <c r="L73" s="1"/>
    </row>
    <row r="74" spans="1:12" ht="22.9" customHeight="1">
      <c r="A74" s="1"/>
      <c r="B74" s="1"/>
      <c r="C74" s="1"/>
      <c r="D74" s="1"/>
      <c r="E74" s="1"/>
      <c r="F74" s="1"/>
      <c r="G74" s="1"/>
      <c r="H74" s="1"/>
      <c r="I74" s="1"/>
      <c r="J74" s="1"/>
      <c r="K74" s="1"/>
      <c r="L74" s="1"/>
    </row>
    <row r="75" spans="1:12" ht="22.9" customHeight="1">
      <c r="A75" s="1"/>
      <c r="B75" s="1"/>
      <c r="C75" s="1"/>
      <c r="D75" s="1"/>
      <c r="E75" s="1"/>
      <c r="F75" s="1"/>
      <c r="G75" s="1"/>
      <c r="H75" s="1"/>
      <c r="I75" s="1"/>
      <c r="J75" s="1"/>
      <c r="K75" s="1"/>
      <c r="L75" s="1"/>
    </row>
    <row r="76" spans="1:12" ht="22.9" customHeight="1">
      <c r="A76" s="1"/>
      <c r="B76" s="1"/>
      <c r="C76" s="1"/>
      <c r="D76" s="1"/>
      <c r="E76" s="1"/>
      <c r="F76" s="1"/>
      <c r="G76" s="1"/>
      <c r="H76" s="1"/>
      <c r="I76" s="1"/>
      <c r="J76" s="1"/>
      <c r="K76" s="1"/>
      <c r="L76" s="1"/>
    </row>
    <row r="77" spans="1:12" ht="22.9" customHeight="1">
      <c r="A77" s="1"/>
      <c r="B77" s="1"/>
      <c r="C77" s="1"/>
      <c r="D77" s="1"/>
      <c r="E77" s="1"/>
      <c r="F77" s="1"/>
      <c r="G77" s="1"/>
      <c r="H77" s="1"/>
      <c r="I77" s="1"/>
      <c r="J77" s="1"/>
      <c r="K77" s="1"/>
      <c r="L77" s="1"/>
    </row>
    <row r="78" spans="1:12" ht="22.9" customHeight="1">
      <c r="A78" s="1"/>
      <c r="B78" s="1"/>
      <c r="C78" s="1"/>
      <c r="D78" s="1"/>
      <c r="E78" s="1"/>
      <c r="F78" s="1"/>
      <c r="G78" s="1"/>
      <c r="H78" s="1"/>
      <c r="I78" s="1"/>
      <c r="J78" s="1"/>
      <c r="K78" s="1"/>
      <c r="L78" s="1"/>
    </row>
    <row r="79" spans="1:12" ht="22.9" customHeight="1">
      <c r="A79" s="1"/>
      <c r="B79" s="1"/>
      <c r="C79" s="1"/>
      <c r="D79" s="1"/>
      <c r="E79" s="1"/>
      <c r="F79" s="1"/>
      <c r="G79" s="1"/>
      <c r="H79" s="1"/>
      <c r="I79" s="1"/>
      <c r="J79" s="1"/>
      <c r="K79" s="1"/>
      <c r="L79" s="1"/>
    </row>
    <row r="80" spans="1:12" ht="22.9" customHeight="1">
      <c r="A80" s="1"/>
      <c r="B80" s="1"/>
      <c r="C80" s="1"/>
      <c r="D80" s="1"/>
      <c r="E80" s="1"/>
      <c r="F80" s="1"/>
      <c r="G80" s="1"/>
      <c r="H80" s="1"/>
      <c r="I80" s="1"/>
      <c r="J80" s="1"/>
      <c r="K80" s="1"/>
      <c r="L80" s="1"/>
    </row>
  </sheetData>
  <mergeCells count="2">
    <mergeCell ref="A1:H2"/>
    <mergeCell ref="A3:H4"/>
  </mergeCells>
  <conditionalFormatting sqref="H7:H56">
    <cfRule type="expression" dxfId="6" priority="1">
      <formula>OR(H7="Ready",H7="Clear")</formula>
    </cfRule>
    <cfRule type="expression" dxfId="5" priority="2">
      <formula>H7="Blocked"</formula>
    </cfRule>
  </conditionalFormatting>
  <dataValidations count="2">
    <dataValidation type="list" allowBlank="1" showInputMessage="1" showErrorMessage="1" errorTitle="Choose a listed value" error="Use the dropdown. Blank means not yet known; it is not approval." promptTitle="Execution group" prompt="Required even at zero hours. Specialist execution is counted as team time, not business time." sqref="B7:B56" xr:uid="{00000000-0002-0000-0400-000000000000}">
      <formula1>"Staff,Management,Specialist"</formula1>
    </dataValidation>
    <dataValidation type="decimal" allowBlank="1" showInputMessage="1" showErrorMessage="1" errorTitle="Invalid number" error="Enter a valid number within the stated range." promptTitle="Required number" prompt="Enter a number; enter 0 only when zero is confirmed." sqref="C7:F56" xr:uid="{00000000-0002-0000-0400-000001000000}">
      <formula1>0</formula1>
      <formula2>1000000000000</formula2>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2" width="20" customWidth="1"/>
    <col min="3" max="3" width="23" customWidth="1"/>
    <col min="4" max="4" width="40" customWidth="1"/>
    <col min="5" max="5" width="18" customWidth="1"/>
    <col min="6" max="6" width="20" customWidth="1"/>
    <col min="7" max="7" width="16" customWidth="1"/>
    <col min="8" max="8" width="15" customWidth="1"/>
    <col min="9" max="9" width="18" customWidth="1"/>
    <col min="10" max="11" width="16" customWidth="1"/>
    <col min="12" max="12" width="28" customWidth="1"/>
    <col min="13" max="13" width="45" customWidth="1"/>
  </cols>
  <sheetData>
    <row r="1" spans="1:13" ht="24" customHeight="1">
      <c r="A1" s="31" t="s">
        <v>186</v>
      </c>
      <c r="B1" s="31"/>
      <c r="C1" s="31"/>
      <c r="D1" s="31"/>
      <c r="E1" s="31"/>
      <c r="F1" s="31"/>
      <c r="G1" s="31"/>
      <c r="H1" s="31"/>
      <c r="I1" s="31"/>
      <c r="J1" s="31"/>
      <c r="K1" s="31"/>
      <c r="L1" s="31"/>
      <c r="M1" s="31"/>
    </row>
    <row r="2" spans="1:13" ht="24" customHeight="1">
      <c r="A2" s="31"/>
      <c r="B2" s="31"/>
      <c r="C2" s="31"/>
      <c r="D2" s="31"/>
      <c r="E2" s="31"/>
      <c r="F2" s="31"/>
      <c r="G2" s="31"/>
      <c r="H2" s="31"/>
      <c r="I2" s="31"/>
      <c r="J2" s="31"/>
      <c r="K2" s="31"/>
      <c r="L2" s="31"/>
      <c r="M2" s="31"/>
    </row>
    <row r="3" spans="1:13" ht="22.15" customHeight="1">
      <c r="A3" s="32" t="s">
        <v>187</v>
      </c>
      <c r="B3" s="32"/>
      <c r="C3" s="32"/>
      <c r="D3" s="32"/>
      <c r="E3" s="32"/>
      <c r="F3" s="32"/>
      <c r="G3" s="32"/>
      <c r="H3" s="32"/>
      <c r="I3" s="32"/>
      <c r="J3" s="32"/>
      <c r="K3" s="32"/>
      <c r="L3" s="32"/>
      <c r="M3" s="32"/>
    </row>
    <row r="4" spans="1:13" ht="22.15" customHeight="1">
      <c r="A4" s="32"/>
      <c r="B4" s="32"/>
      <c r="C4" s="32"/>
      <c r="D4" s="32"/>
      <c r="E4" s="32"/>
      <c r="F4" s="32"/>
      <c r="G4" s="32"/>
      <c r="H4" s="32"/>
      <c r="I4" s="32"/>
      <c r="J4" s="32"/>
      <c r="K4" s="32"/>
      <c r="L4" s="32"/>
      <c r="M4" s="32"/>
    </row>
    <row r="5" spans="1:13" ht="22.9" customHeight="1">
      <c r="A5" s="4" t="str">
        <f>IFERROR(HYPERLINK("#'Start'!A1","← Start"),"← Start")</f>
        <v>← Start</v>
      </c>
      <c r="B5" s="1"/>
      <c r="C5" s="1"/>
      <c r="D5" s="1"/>
      <c r="E5" s="1"/>
      <c r="F5" s="1"/>
      <c r="G5" s="1"/>
      <c r="H5" s="1"/>
      <c r="I5" s="1"/>
      <c r="J5" s="1"/>
      <c r="K5" s="1"/>
      <c r="L5" s="1"/>
      <c r="M5" s="1"/>
    </row>
    <row r="6" spans="1:13" ht="43.15" customHeight="1">
      <c r="A6" s="11" t="s">
        <v>62</v>
      </c>
      <c r="B6" s="11" t="s">
        <v>188</v>
      </c>
      <c r="C6" s="11" t="s">
        <v>189</v>
      </c>
      <c r="D6" s="11" t="s">
        <v>190</v>
      </c>
      <c r="E6" s="11" t="s">
        <v>191</v>
      </c>
      <c r="F6" s="11" t="s">
        <v>192</v>
      </c>
      <c r="G6" s="11" t="s">
        <v>193</v>
      </c>
      <c r="H6" s="11" t="s">
        <v>53</v>
      </c>
      <c r="I6" s="11" t="s">
        <v>194</v>
      </c>
      <c r="J6" s="11" t="s">
        <v>195</v>
      </c>
      <c r="K6" s="11" t="s">
        <v>196</v>
      </c>
      <c r="L6" s="11" t="s">
        <v>197</v>
      </c>
      <c r="M6" s="11" t="s">
        <v>198</v>
      </c>
    </row>
    <row r="7" spans="1:13" ht="43.9" customHeight="1">
      <c r="A7" s="15" t="s">
        <v>33</v>
      </c>
      <c r="B7" s="16" t="s">
        <v>199</v>
      </c>
      <c r="C7" s="16" t="s">
        <v>200</v>
      </c>
      <c r="D7" s="16" t="s">
        <v>201</v>
      </c>
      <c r="E7" s="16" t="s">
        <v>202</v>
      </c>
      <c r="F7" s="16"/>
      <c r="G7" s="19"/>
      <c r="H7" s="16" t="s">
        <v>203</v>
      </c>
      <c r="I7" s="19"/>
      <c r="J7" s="20">
        <v>0</v>
      </c>
      <c r="K7" s="20">
        <v>0</v>
      </c>
      <c r="L7" s="16"/>
      <c r="M7" s="14" t="str">
        <f>IF(COUNTIFS(Checks!$A$7:$A$56,$A7,Checks!$J$7:$J$56,"&lt;&gt;")=1,IFERROR(INDEX(Checks!$J$7:$J$56,MATCH($A7,Checks!$A$7:$A$56,0)),""),"")</f>
        <v>Example only — never in live planning</v>
      </c>
    </row>
    <row r="8" spans="1:13" ht="43.9" customHeight="1">
      <c r="A8" s="15" t="s">
        <v>75</v>
      </c>
      <c r="B8" s="16" t="s">
        <v>199</v>
      </c>
      <c r="C8" s="16" t="s">
        <v>200</v>
      </c>
      <c r="D8" s="16" t="s">
        <v>201</v>
      </c>
      <c r="E8" s="16" t="s">
        <v>202</v>
      </c>
      <c r="F8" s="16"/>
      <c r="G8" s="19"/>
      <c r="H8" s="16" t="s">
        <v>203</v>
      </c>
      <c r="I8" s="19"/>
      <c r="J8" s="20">
        <v>0</v>
      </c>
      <c r="K8" s="20">
        <v>0</v>
      </c>
      <c r="L8" s="16"/>
      <c r="M8" s="14" t="str">
        <f>IF(COUNTIFS(Checks!$A$7:$A$56,$A8,Checks!$J$7:$J$56,"&lt;&gt;")=1,IFERROR(INDEX(Checks!$J$7:$J$56,MATCH($A8,Checks!$A$7:$A$56,0)),""),"")</f>
        <v>Example only — never in live planning</v>
      </c>
    </row>
    <row r="9" spans="1:13" ht="43.9" customHeight="1">
      <c r="A9" s="15" t="s">
        <v>78</v>
      </c>
      <c r="B9" s="16" t="s">
        <v>199</v>
      </c>
      <c r="C9" s="16" t="s">
        <v>200</v>
      </c>
      <c r="D9" s="16" t="s">
        <v>201</v>
      </c>
      <c r="E9" s="16" t="s">
        <v>202</v>
      </c>
      <c r="F9" s="16"/>
      <c r="G9" s="19"/>
      <c r="H9" s="16" t="s">
        <v>203</v>
      </c>
      <c r="I9" s="19"/>
      <c r="J9" s="20">
        <v>0</v>
      </c>
      <c r="K9" s="20">
        <v>0</v>
      </c>
      <c r="L9" s="16"/>
      <c r="M9" s="14" t="str">
        <f>IF(COUNTIFS(Checks!$A$7:$A$56,$A9,Checks!$J$7:$J$56,"&lt;&gt;")=1,IFERROR(INDEX(Checks!$J$7:$J$56,MATCH($A9,Checks!$A$7:$A$56,0)),""),"")</f>
        <v>Example only — never in live planning</v>
      </c>
    </row>
    <row r="10" spans="1:13" ht="43.9" customHeight="1">
      <c r="A10" s="15" t="s">
        <v>82</v>
      </c>
      <c r="B10" s="16" t="s">
        <v>199</v>
      </c>
      <c r="C10" s="16" t="s">
        <v>200</v>
      </c>
      <c r="D10" s="16" t="s">
        <v>201</v>
      </c>
      <c r="E10" s="16" t="s">
        <v>202</v>
      </c>
      <c r="F10" s="16"/>
      <c r="G10" s="19"/>
      <c r="H10" s="16" t="s">
        <v>203</v>
      </c>
      <c r="I10" s="19"/>
      <c r="J10" s="20">
        <v>0</v>
      </c>
      <c r="K10" s="20">
        <v>0</v>
      </c>
      <c r="L10" s="16"/>
      <c r="M10" s="14" t="str">
        <f>IF(COUNTIFS(Checks!$A$7:$A$56,$A10,Checks!$J$7:$J$56,"&lt;&gt;")=1,IFERROR(INDEX(Checks!$J$7:$J$56,MATCH($A10,Checks!$A$7:$A$56,0)),""),"")</f>
        <v>Example only — never in live planning</v>
      </c>
    </row>
    <row r="11" spans="1:13" ht="43.9" customHeight="1">
      <c r="A11" s="15" t="s">
        <v>85</v>
      </c>
      <c r="B11" s="16" t="s">
        <v>199</v>
      </c>
      <c r="C11" s="16" t="s">
        <v>200</v>
      </c>
      <c r="D11" s="16" t="s">
        <v>201</v>
      </c>
      <c r="E11" s="16" t="s">
        <v>202</v>
      </c>
      <c r="F11" s="16"/>
      <c r="G11" s="19"/>
      <c r="H11" s="16" t="s">
        <v>203</v>
      </c>
      <c r="I11" s="19"/>
      <c r="J11" s="20">
        <v>0</v>
      </c>
      <c r="K11" s="20">
        <v>0</v>
      </c>
      <c r="L11" s="16"/>
      <c r="M11" s="14" t="str">
        <f>IF(COUNTIFS(Checks!$A$7:$A$56,$A11,Checks!$J$7:$J$56,"&lt;&gt;")=1,IFERROR(INDEX(Checks!$J$7:$J$56,MATCH($A11,Checks!$A$7:$A$56,0)),""),"")</f>
        <v>Example only — never in live planning</v>
      </c>
    </row>
    <row r="12" spans="1:13" ht="43.9" customHeight="1">
      <c r="A12" s="15" t="s">
        <v>88</v>
      </c>
      <c r="B12" s="16" t="s">
        <v>199</v>
      </c>
      <c r="C12" s="16" t="s">
        <v>200</v>
      </c>
      <c r="D12" s="16" t="s">
        <v>201</v>
      </c>
      <c r="E12" s="16" t="s">
        <v>202</v>
      </c>
      <c r="F12" s="16"/>
      <c r="G12" s="19"/>
      <c r="H12" s="16" t="s">
        <v>203</v>
      </c>
      <c r="I12" s="19"/>
      <c r="J12" s="20">
        <v>0</v>
      </c>
      <c r="K12" s="20">
        <v>0</v>
      </c>
      <c r="L12" s="16"/>
      <c r="M12" s="14" t="str">
        <f>IF(COUNTIFS(Checks!$A$7:$A$56,$A12,Checks!$J$7:$J$56,"&lt;&gt;")=1,IFERROR(INDEX(Checks!$J$7:$J$56,MATCH($A12,Checks!$A$7:$A$56,0)),""),"")</f>
        <v>Example only — never in live planning</v>
      </c>
    </row>
    <row r="13" spans="1:13" ht="43.9" customHeight="1">
      <c r="A13" s="15" t="s">
        <v>91</v>
      </c>
      <c r="B13" s="16" t="s">
        <v>199</v>
      </c>
      <c r="C13" s="16" t="s">
        <v>200</v>
      </c>
      <c r="D13" s="16" t="s">
        <v>201</v>
      </c>
      <c r="E13" s="16" t="s">
        <v>202</v>
      </c>
      <c r="F13" s="16"/>
      <c r="G13" s="19"/>
      <c r="H13" s="16" t="s">
        <v>203</v>
      </c>
      <c r="I13" s="19"/>
      <c r="J13" s="20">
        <v>0</v>
      </c>
      <c r="K13" s="20">
        <v>0</v>
      </c>
      <c r="L13" s="16"/>
      <c r="M13" s="14" t="str">
        <f>IF(COUNTIFS(Checks!$A$7:$A$56,$A13,Checks!$J$7:$J$56,"&lt;&gt;")=1,IFERROR(INDEX(Checks!$J$7:$J$56,MATCH($A13,Checks!$A$7:$A$56,0)),""),"")</f>
        <v>Example only — never in live planning</v>
      </c>
    </row>
    <row r="14" spans="1:13" ht="43.9" customHeight="1">
      <c r="A14" s="15" t="s">
        <v>94</v>
      </c>
      <c r="B14" s="16" t="s">
        <v>199</v>
      </c>
      <c r="C14" s="16" t="s">
        <v>200</v>
      </c>
      <c r="D14" s="16" t="s">
        <v>201</v>
      </c>
      <c r="E14" s="16" t="s">
        <v>202</v>
      </c>
      <c r="F14" s="16"/>
      <c r="G14" s="19"/>
      <c r="H14" s="16" t="s">
        <v>203</v>
      </c>
      <c r="I14" s="19"/>
      <c r="J14" s="20">
        <v>0</v>
      </c>
      <c r="K14" s="20">
        <v>0</v>
      </c>
      <c r="L14" s="16"/>
      <c r="M14" s="14" t="str">
        <f>IF(COUNTIFS(Checks!$A$7:$A$56,$A14,Checks!$J$7:$J$56,"&lt;&gt;")=1,IFERROR(INDEX(Checks!$J$7:$J$56,MATCH($A14,Checks!$A$7:$A$56,0)),""),"")</f>
        <v>Example only — never in live planning</v>
      </c>
    </row>
    <row r="15" spans="1:13" ht="43.9" customHeight="1">
      <c r="A15" s="15" t="s">
        <v>97</v>
      </c>
      <c r="B15" s="16" t="s">
        <v>199</v>
      </c>
      <c r="C15" s="16" t="s">
        <v>200</v>
      </c>
      <c r="D15" s="16" t="s">
        <v>201</v>
      </c>
      <c r="E15" s="16" t="s">
        <v>202</v>
      </c>
      <c r="F15" s="16"/>
      <c r="G15" s="19"/>
      <c r="H15" s="16" t="s">
        <v>203</v>
      </c>
      <c r="I15" s="19"/>
      <c r="J15" s="20">
        <v>0</v>
      </c>
      <c r="K15" s="20">
        <v>0</v>
      </c>
      <c r="L15" s="16"/>
      <c r="M15" s="14" t="str">
        <f>IF(COUNTIFS(Checks!$A$7:$A$56,$A15,Checks!$J$7:$J$56,"&lt;&gt;")=1,IFERROR(INDEX(Checks!$J$7:$J$56,MATCH($A15,Checks!$A$7:$A$56,0)),""),"")</f>
        <v>Example only — never in live planning</v>
      </c>
    </row>
    <row r="16" spans="1:13" ht="43.9" customHeight="1">
      <c r="A16" s="15" t="s">
        <v>102</v>
      </c>
      <c r="B16" s="16" t="s">
        <v>199</v>
      </c>
      <c r="C16" s="16" t="s">
        <v>200</v>
      </c>
      <c r="D16" s="16" t="s">
        <v>201</v>
      </c>
      <c r="E16" s="16" t="s">
        <v>202</v>
      </c>
      <c r="F16" s="16"/>
      <c r="G16" s="19"/>
      <c r="H16" s="16" t="s">
        <v>203</v>
      </c>
      <c r="I16" s="19"/>
      <c r="J16" s="20">
        <v>0</v>
      </c>
      <c r="K16" s="20">
        <v>0</v>
      </c>
      <c r="L16" s="16"/>
      <c r="M16" s="14" t="str">
        <f>IF(COUNTIFS(Checks!$A$7:$A$56,$A16,Checks!$J$7:$J$56,"&lt;&gt;")=1,IFERROR(INDEX(Checks!$J$7:$J$56,MATCH($A16,Checks!$A$7:$A$56,0)),""),"")</f>
        <v>Example only — never in live planning</v>
      </c>
    </row>
    <row r="17" spans="1:13" ht="43.9" customHeight="1">
      <c r="A17" s="15" t="s">
        <v>105</v>
      </c>
      <c r="B17" s="16" t="s">
        <v>199</v>
      </c>
      <c r="C17" s="16" t="s">
        <v>200</v>
      </c>
      <c r="D17" s="16" t="s">
        <v>201</v>
      </c>
      <c r="E17" s="16" t="s">
        <v>202</v>
      </c>
      <c r="F17" s="16"/>
      <c r="G17" s="19"/>
      <c r="H17" s="16" t="s">
        <v>203</v>
      </c>
      <c r="I17" s="19"/>
      <c r="J17" s="20">
        <v>0</v>
      </c>
      <c r="K17" s="20">
        <v>0</v>
      </c>
      <c r="L17" s="16"/>
      <c r="M17" s="14" t="str">
        <f>IF(COUNTIFS(Checks!$A$7:$A$56,$A17,Checks!$J$7:$J$56,"&lt;&gt;")=1,IFERROR(INDEX(Checks!$J$7:$J$56,MATCH($A17,Checks!$A$7:$A$56,0)),""),"")</f>
        <v>Example only — never in live planning</v>
      </c>
    </row>
    <row r="18" spans="1:13" ht="43.9" customHeight="1">
      <c r="A18" s="15" t="s">
        <v>108</v>
      </c>
      <c r="B18" s="16"/>
      <c r="C18" s="16"/>
      <c r="D18" s="16"/>
      <c r="E18" s="16"/>
      <c r="F18" s="16"/>
      <c r="G18" s="19"/>
      <c r="H18" s="16"/>
      <c r="I18" s="19"/>
      <c r="J18" s="20"/>
      <c r="K18" s="20"/>
      <c r="L18" s="16"/>
      <c r="M18" s="14" t="str">
        <f>IF(COUNTIFS(Checks!$A$7:$A$56,$A18,Checks!$J$7:$J$56,"&lt;&gt;")=1,IFERROR(INDEX(Checks!$J$7:$J$56,MATCH($A18,Checks!$A$7:$A$56,0)),""),"")</f>
        <v>Unused slot</v>
      </c>
    </row>
    <row r="19" spans="1:13" ht="43.9" customHeight="1">
      <c r="A19" s="15" t="s">
        <v>110</v>
      </c>
      <c r="B19" s="16"/>
      <c r="C19" s="16"/>
      <c r="D19" s="16"/>
      <c r="E19" s="16"/>
      <c r="F19" s="16"/>
      <c r="G19" s="19"/>
      <c r="H19" s="16"/>
      <c r="I19" s="19"/>
      <c r="J19" s="20"/>
      <c r="K19" s="20"/>
      <c r="L19" s="16"/>
      <c r="M19" s="14" t="str">
        <f>IF(COUNTIFS(Checks!$A$7:$A$56,$A19,Checks!$J$7:$J$56,"&lt;&gt;")=1,IFERROR(INDEX(Checks!$J$7:$J$56,MATCH($A19,Checks!$A$7:$A$56,0)),""),"")</f>
        <v>Unused slot</v>
      </c>
    </row>
    <row r="20" spans="1:13" ht="43.9" customHeight="1">
      <c r="A20" s="15" t="s">
        <v>111</v>
      </c>
      <c r="B20" s="16"/>
      <c r="C20" s="16"/>
      <c r="D20" s="16"/>
      <c r="E20" s="16"/>
      <c r="F20" s="16"/>
      <c r="G20" s="19"/>
      <c r="H20" s="16"/>
      <c r="I20" s="19"/>
      <c r="J20" s="20"/>
      <c r="K20" s="20"/>
      <c r="L20" s="16"/>
      <c r="M20" s="14" t="str">
        <f>IF(COUNTIFS(Checks!$A$7:$A$56,$A20,Checks!$J$7:$J$56,"&lt;&gt;")=1,IFERROR(INDEX(Checks!$J$7:$J$56,MATCH($A20,Checks!$A$7:$A$56,0)),""),"")</f>
        <v>Unused slot</v>
      </c>
    </row>
    <row r="21" spans="1:13" ht="43.9" customHeight="1">
      <c r="A21" s="15" t="s">
        <v>112</v>
      </c>
      <c r="B21" s="16"/>
      <c r="C21" s="16"/>
      <c r="D21" s="16"/>
      <c r="E21" s="16"/>
      <c r="F21" s="16"/>
      <c r="G21" s="19"/>
      <c r="H21" s="16"/>
      <c r="I21" s="19"/>
      <c r="J21" s="20"/>
      <c r="K21" s="20"/>
      <c r="L21" s="16"/>
      <c r="M21" s="14" t="str">
        <f>IF(COUNTIFS(Checks!$A$7:$A$56,$A21,Checks!$J$7:$J$56,"&lt;&gt;")=1,IFERROR(INDEX(Checks!$J$7:$J$56,MATCH($A21,Checks!$A$7:$A$56,0)),""),"")</f>
        <v>Unused slot</v>
      </c>
    </row>
    <row r="22" spans="1:13" ht="43.9" customHeight="1">
      <c r="A22" s="15" t="s">
        <v>113</v>
      </c>
      <c r="B22" s="16"/>
      <c r="C22" s="16"/>
      <c r="D22" s="16"/>
      <c r="E22" s="16"/>
      <c r="F22" s="16"/>
      <c r="G22" s="19"/>
      <c r="H22" s="16"/>
      <c r="I22" s="19"/>
      <c r="J22" s="20"/>
      <c r="K22" s="20"/>
      <c r="L22" s="16"/>
      <c r="M22" s="14" t="str">
        <f>IF(COUNTIFS(Checks!$A$7:$A$56,$A22,Checks!$J$7:$J$56,"&lt;&gt;")=1,IFERROR(INDEX(Checks!$J$7:$J$56,MATCH($A22,Checks!$A$7:$A$56,0)),""),"")</f>
        <v>Unused slot</v>
      </c>
    </row>
    <row r="23" spans="1:13" ht="43.9" customHeight="1">
      <c r="A23" s="15" t="s">
        <v>114</v>
      </c>
      <c r="B23" s="16"/>
      <c r="C23" s="16"/>
      <c r="D23" s="16"/>
      <c r="E23" s="16"/>
      <c r="F23" s="16"/>
      <c r="G23" s="19"/>
      <c r="H23" s="16"/>
      <c r="I23" s="19"/>
      <c r="J23" s="20"/>
      <c r="K23" s="20"/>
      <c r="L23" s="16"/>
      <c r="M23" s="14" t="str">
        <f>IF(COUNTIFS(Checks!$A$7:$A$56,$A23,Checks!$J$7:$J$56,"&lt;&gt;")=1,IFERROR(INDEX(Checks!$J$7:$J$56,MATCH($A23,Checks!$A$7:$A$56,0)),""),"")</f>
        <v>Unused slot</v>
      </c>
    </row>
    <row r="24" spans="1:13" ht="43.9" customHeight="1">
      <c r="A24" s="15" t="s">
        <v>115</v>
      </c>
      <c r="B24" s="16"/>
      <c r="C24" s="16"/>
      <c r="D24" s="16"/>
      <c r="E24" s="16"/>
      <c r="F24" s="16"/>
      <c r="G24" s="19"/>
      <c r="H24" s="16"/>
      <c r="I24" s="19"/>
      <c r="J24" s="20"/>
      <c r="K24" s="20"/>
      <c r="L24" s="16"/>
      <c r="M24" s="14" t="str">
        <f>IF(COUNTIFS(Checks!$A$7:$A$56,$A24,Checks!$J$7:$J$56,"&lt;&gt;")=1,IFERROR(INDEX(Checks!$J$7:$J$56,MATCH($A24,Checks!$A$7:$A$56,0)),""),"")</f>
        <v>Unused slot</v>
      </c>
    </row>
    <row r="25" spans="1:13" ht="43.9" customHeight="1">
      <c r="A25" s="15" t="s">
        <v>116</v>
      </c>
      <c r="B25" s="16"/>
      <c r="C25" s="16"/>
      <c r="D25" s="16"/>
      <c r="E25" s="16"/>
      <c r="F25" s="16"/>
      <c r="G25" s="19"/>
      <c r="H25" s="16"/>
      <c r="I25" s="19"/>
      <c r="J25" s="20"/>
      <c r="K25" s="20"/>
      <c r="L25" s="16"/>
      <c r="M25" s="14" t="str">
        <f>IF(COUNTIFS(Checks!$A$7:$A$56,$A25,Checks!$J$7:$J$56,"&lt;&gt;")=1,IFERROR(INDEX(Checks!$J$7:$J$56,MATCH($A25,Checks!$A$7:$A$56,0)),""),"")</f>
        <v>Unused slot</v>
      </c>
    </row>
    <row r="26" spans="1:13" ht="43.9" customHeight="1">
      <c r="A26" s="15" t="s">
        <v>117</v>
      </c>
      <c r="B26" s="16"/>
      <c r="C26" s="16"/>
      <c r="D26" s="16"/>
      <c r="E26" s="16"/>
      <c r="F26" s="16"/>
      <c r="G26" s="19"/>
      <c r="H26" s="16"/>
      <c r="I26" s="19"/>
      <c r="J26" s="20"/>
      <c r="K26" s="20"/>
      <c r="L26" s="16"/>
      <c r="M26" s="14" t="str">
        <f>IF(COUNTIFS(Checks!$A$7:$A$56,$A26,Checks!$J$7:$J$56,"&lt;&gt;")=1,IFERROR(INDEX(Checks!$J$7:$J$56,MATCH($A26,Checks!$A$7:$A$56,0)),""),"")</f>
        <v>Unused slot</v>
      </c>
    </row>
    <row r="27" spans="1:13" ht="43.9" customHeight="1">
      <c r="A27" s="15" t="s">
        <v>118</v>
      </c>
      <c r="B27" s="16"/>
      <c r="C27" s="16"/>
      <c r="D27" s="16"/>
      <c r="E27" s="16"/>
      <c r="F27" s="16"/>
      <c r="G27" s="19"/>
      <c r="H27" s="16"/>
      <c r="I27" s="19"/>
      <c r="J27" s="20"/>
      <c r="K27" s="20"/>
      <c r="L27" s="16"/>
      <c r="M27" s="14" t="str">
        <f>IF(COUNTIFS(Checks!$A$7:$A$56,$A27,Checks!$J$7:$J$56,"&lt;&gt;")=1,IFERROR(INDEX(Checks!$J$7:$J$56,MATCH($A27,Checks!$A$7:$A$56,0)),""),"")</f>
        <v>Unused slot</v>
      </c>
    </row>
    <row r="28" spans="1:13" ht="43.9" customHeight="1">
      <c r="A28" s="15" t="s">
        <v>119</v>
      </c>
      <c r="B28" s="16"/>
      <c r="C28" s="16"/>
      <c r="D28" s="16"/>
      <c r="E28" s="16"/>
      <c r="F28" s="16"/>
      <c r="G28" s="19"/>
      <c r="H28" s="16"/>
      <c r="I28" s="19"/>
      <c r="J28" s="20"/>
      <c r="K28" s="20"/>
      <c r="L28" s="16"/>
      <c r="M28" s="14" t="str">
        <f>IF(COUNTIFS(Checks!$A$7:$A$56,$A28,Checks!$J$7:$J$56,"&lt;&gt;")=1,IFERROR(INDEX(Checks!$J$7:$J$56,MATCH($A28,Checks!$A$7:$A$56,0)),""),"")</f>
        <v>Unused slot</v>
      </c>
    </row>
    <row r="29" spans="1:13" ht="43.9" customHeight="1">
      <c r="A29" s="15" t="s">
        <v>120</v>
      </c>
      <c r="B29" s="16"/>
      <c r="C29" s="16"/>
      <c r="D29" s="16"/>
      <c r="E29" s="16"/>
      <c r="F29" s="16"/>
      <c r="G29" s="19"/>
      <c r="H29" s="16"/>
      <c r="I29" s="19"/>
      <c r="J29" s="20"/>
      <c r="K29" s="20"/>
      <c r="L29" s="16"/>
      <c r="M29" s="14" t="str">
        <f>IF(COUNTIFS(Checks!$A$7:$A$56,$A29,Checks!$J$7:$J$56,"&lt;&gt;")=1,IFERROR(INDEX(Checks!$J$7:$J$56,MATCH($A29,Checks!$A$7:$A$56,0)),""),"")</f>
        <v>Unused slot</v>
      </c>
    </row>
    <row r="30" spans="1:13" ht="43.9" customHeight="1">
      <c r="A30" s="15" t="s">
        <v>121</v>
      </c>
      <c r="B30" s="16"/>
      <c r="C30" s="16"/>
      <c r="D30" s="16"/>
      <c r="E30" s="16"/>
      <c r="F30" s="16"/>
      <c r="G30" s="19"/>
      <c r="H30" s="16"/>
      <c r="I30" s="19"/>
      <c r="J30" s="20"/>
      <c r="K30" s="20"/>
      <c r="L30" s="16"/>
      <c r="M30" s="14" t="str">
        <f>IF(COUNTIFS(Checks!$A$7:$A$56,$A30,Checks!$J$7:$J$56,"&lt;&gt;")=1,IFERROR(INDEX(Checks!$J$7:$J$56,MATCH($A30,Checks!$A$7:$A$56,0)),""),"")</f>
        <v>Unused slot</v>
      </c>
    </row>
    <row r="31" spans="1:13" ht="43.9" customHeight="1">
      <c r="A31" s="15" t="s">
        <v>122</v>
      </c>
      <c r="B31" s="16"/>
      <c r="C31" s="16"/>
      <c r="D31" s="16"/>
      <c r="E31" s="16"/>
      <c r="F31" s="16"/>
      <c r="G31" s="19"/>
      <c r="H31" s="16"/>
      <c r="I31" s="19"/>
      <c r="J31" s="20"/>
      <c r="K31" s="20"/>
      <c r="L31" s="16"/>
      <c r="M31" s="14" t="str">
        <f>IF(COUNTIFS(Checks!$A$7:$A$56,$A31,Checks!$J$7:$J$56,"&lt;&gt;")=1,IFERROR(INDEX(Checks!$J$7:$J$56,MATCH($A31,Checks!$A$7:$A$56,0)),""),"")</f>
        <v>Unused slot</v>
      </c>
    </row>
    <row r="32" spans="1:13" ht="43.9" customHeight="1">
      <c r="A32" s="15" t="s">
        <v>123</v>
      </c>
      <c r="B32" s="16"/>
      <c r="C32" s="16"/>
      <c r="D32" s="16"/>
      <c r="E32" s="16"/>
      <c r="F32" s="16"/>
      <c r="G32" s="19"/>
      <c r="H32" s="16"/>
      <c r="I32" s="19"/>
      <c r="J32" s="20"/>
      <c r="K32" s="20"/>
      <c r="L32" s="16"/>
      <c r="M32" s="14" t="str">
        <f>IF(COUNTIFS(Checks!$A$7:$A$56,$A32,Checks!$J$7:$J$56,"&lt;&gt;")=1,IFERROR(INDEX(Checks!$J$7:$J$56,MATCH($A32,Checks!$A$7:$A$56,0)),""),"")</f>
        <v>Unused slot</v>
      </c>
    </row>
    <row r="33" spans="1:13" ht="43.9" customHeight="1">
      <c r="A33" s="15" t="s">
        <v>124</v>
      </c>
      <c r="B33" s="16"/>
      <c r="C33" s="16"/>
      <c r="D33" s="16"/>
      <c r="E33" s="16"/>
      <c r="F33" s="16"/>
      <c r="G33" s="19"/>
      <c r="H33" s="16"/>
      <c r="I33" s="19"/>
      <c r="J33" s="20"/>
      <c r="K33" s="20"/>
      <c r="L33" s="16"/>
      <c r="M33" s="14" t="str">
        <f>IF(COUNTIFS(Checks!$A$7:$A$56,$A33,Checks!$J$7:$J$56,"&lt;&gt;")=1,IFERROR(INDEX(Checks!$J$7:$J$56,MATCH($A33,Checks!$A$7:$A$56,0)),""),"")</f>
        <v>Unused slot</v>
      </c>
    </row>
    <row r="34" spans="1:13" ht="43.9" customHeight="1">
      <c r="A34" s="15" t="s">
        <v>125</v>
      </c>
      <c r="B34" s="16"/>
      <c r="C34" s="16"/>
      <c r="D34" s="16"/>
      <c r="E34" s="16"/>
      <c r="F34" s="16"/>
      <c r="G34" s="19"/>
      <c r="H34" s="16"/>
      <c r="I34" s="19"/>
      <c r="J34" s="20"/>
      <c r="K34" s="20"/>
      <c r="L34" s="16"/>
      <c r="M34" s="14" t="str">
        <f>IF(COUNTIFS(Checks!$A$7:$A$56,$A34,Checks!$J$7:$J$56,"&lt;&gt;")=1,IFERROR(INDEX(Checks!$J$7:$J$56,MATCH($A34,Checks!$A$7:$A$56,0)),""),"")</f>
        <v>Unused slot</v>
      </c>
    </row>
    <row r="35" spans="1:13" ht="43.9" customHeight="1">
      <c r="A35" s="15" t="s">
        <v>126</v>
      </c>
      <c r="B35" s="16"/>
      <c r="C35" s="16"/>
      <c r="D35" s="16"/>
      <c r="E35" s="16"/>
      <c r="F35" s="16"/>
      <c r="G35" s="19"/>
      <c r="H35" s="16"/>
      <c r="I35" s="19"/>
      <c r="J35" s="20"/>
      <c r="K35" s="20"/>
      <c r="L35" s="16"/>
      <c r="M35" s="14" t="str">
        <f>IF(COUNTIFS(Checks!$A$7:$A$56,$A35,Checks!$J$7:$J$56,"&lt;&gt;")=1,IFERROR(INDEX(Checks!$J$7:$J$56,MATCH($A35,Checks!$A$7:$A$56,0)),""),"")</f>
        <v>Unused slot</v>
      </c>
    </row>
    <row r="36" spans="1:13" ht="43.9" customHeight="1">
      <c r="A36" s="15" t="s">
        <v>127</v>
      </c>
      <c r="B36" s="16"/>
      <c r="C36" s="16"/>
      <c r="D36" s="16"/>
      <c r="E36" s="16"/>
      <c r="F36" s="16"/>
      <c r="G36" s="19"/>
      <c r="H36" s="16"/>
      <c r="I36" s="19"/>
      <c r="J36" s="20"/>
      <c r="K36" s="20"/>
      <c r="L36" s="16"/>
      <c r="M36" s="14" t="str">
        <f>IF(COUNTIFS(Checks!$A$7:$A$56,$A36,Checks!$J$7:$J$56,"&lt;&gt;")=1,IFERROR(INDEX(Checks!$J$7:$J$56,MATCH($A36,Checks!$A$7:$A$56,0)),""),"")</f>
        <v>Unused slot</v>
      </c>
    </row>
    <row r="37" spans="1:13" ht="43.9" customHeight="1">
      <c r="A37" s="15" t="s">
        <v>128</v>
      </c>
      <c r="B37" s="16"/>
      <c r="C37" s="16"/>
      <c r="D37" s="16"/>
      <c r="E37" s="16"/>
      <c r="F37" s="16"/>
      <c r="G37" s="19"/>
      <c r="H37" s="16"/>
      <c r="I37" s="19"/>
      <c r="J37" s="20"/>
      <c r="K37" s="20"/>
      <c r="L37" s="16"/>
      <c r="M37" s="14" t="str">
        <f>IF(COUNTIFS(Checks!$A$7:$A$56,$A37,Checks!$J$7:$J$56,"&lt;&gt;")=1,IFERROR(INDEX(Checks!$J$7:$J$56,MATCH($A37,Checks!$A$7:$A$56,0)),""),"")</f>
        <v>Unused slot</v>
      </c>
    </row>
    <row r="38" spans="1:13" ht="43.9" customHeight="1">
      <c r="A38" s="15" t="s">
        <v>129</v>
      </c>
      <c r="B38" s="16"/>
      <c r="C38" s="16"/>
      <c r="D38" s="16"/>
      <c r="E38" s="16"/>
      <c r="F38" s="16"/>
      <c r="G38" s="19"/>
      <c r="H38" s="16"/>
      <c r="I38" s="19"/>
      <c r="J38" s="20"/>
      <c r="K38" s="20"/>
      <c r="L38" s="16"/>
      <c r="M38" s="14" t="str">
        <f>IF(COUNTIFS(Checks!$A$7:$A$56,$A38,Checks!$J$7:$J$56,"&lt;&gt;")=1,IFERROR(INDEX(Checks!$J$7:$J$56,MATCH($A38,Checks!$A$7:$A$56,0)),""),"")</f>
        <v>Unused slot</v>
      </c>
    </row>
    <row r="39" spans="1:13" ht="43.9" customHeight="1">
      <c r="A39" s="15" t="s">
        <v>130</v>
      </c>
      <c r="B39" s="16"/>
      <c r="C39" s="16"/>
      <c r="D39" s="16"/>
      <c r="E39" s="16"/>
      <c r="F39" s="16"/>
      <c r="G39" s="19"/>
      <c r="H39" s="16"/>
      <c r="I39" s="19"/>
      <c r="J39" s="20"/>
      <c r="K39" s="20"/>
      <c r="L39" s="16"/>
      <c r="M39" s="14" t="str">
        <f>IF(COUNTIFS(Checks!$A$7:$A$56,$A39,Checks!$J$7:$J$56,"&lt;&gt;")=1,IFERROR(INDEX(Checks!$J$7:$J$56,MATCH($A39,Checks!$A$7:$A$56,0)),""),"")</f>
        <v>Unused slot</v>
      </c>
    </row>
    <row r="40" spans="1:13" ht="43.9" customHeight="1">
      <c r="A40" s="15" t="s">
        <v>131</v>
      </c>
      <c r="B40" s="16"/>
      <c r="C40" s="16"/>
      <c r="D40" s="16"/>
      <c r="E40" s="16"/>
      <c r="F40" s="16"/>
      <c r="G40" s="19"/>
      <c r="H40" s="16"/>
      <c r="I40" s="19"/>
      <c r="J40" s="20"/>
      <c r="K40" s="20"/>
      <c r="L40" s="16"/>
      <c r="M40" s="14" t="str">
        <f>IF(COUNTIFS(Checks!$A$7:$A$56,$A40,Checks!$J$7:$J$56,"&lt;&gt;")=1,IFERROR(INDEX(Checks!$J$7:$J$56,MATCH($A40,Checks!$A$7:$A$56,0)),""),"")</f>
        <v>Unused slot</v>
      </c>
    </row>
    <row r="41" spans="1:13" ht="43.9" customHeight="1">
      <c r="A41" s="15" t="s">
        <v>132</v>
      </c>
      <c r="B41" s="16"/>
      <c r="C41" s="16"/>
      <c r="D41" s="16"/>
      <c r="E41" s="16"/>
      <c r="F41" s="16"/>
      <c r="G41" s="19"/>
      <c r="H41" s="16"/>
      <c r="I41" s="19"/>
      <c r="J41" s="20"/>
      <c r="K41" s="20"/>
      <c r="L41" s="16"/>
      <c r="M41" s="14" t="str">
        <f>IF(COUNTIFS(Checks!$A$7:$A$56,$A41,Checks!$J$7:$J$56,"&lt;&gt;")=1,IFERROR(INDEX(Checks!$J$7:$J$56,MATCH($A41,Checks!$A$7:$A$56,0)),""),"")</f>
        <v>Unused slot</v>
      </c>
    </row>
    <row r="42" spans="1:13" ht="43.9" customHeight="1">
      <c r="A42" s="15" t="s">
        <v>133</v>
      </c>
      <c r="B42" s="16"/>
      <c r="C42" s="16"/>
      <c r="D42" s="16"/>
      <c r="E42" s="16"/>
      <c r="F42" s="16"/>
      <c r="G42" s="19"/>
      <c r="H42" s="16"/>
      <c r="I42" s="19"/>
      <c r="J42" s="20"/>
      <c r="K42" s="20"/>
      <c r="L42" s="16"/>
      <c r="M42" s="14" t="str">
        <f>IF(COUNTIFS(Checks!$A$7:$A$56,$A42,Checks!$J$7:$J$56,"&lt;&gt;")=1,IFERROR(INDEX(Checks!$J$7:$J$56,MATCH($A42,Checks!$A$7:$A$56,0)),""),"")</f>
        <v>Unused slot</v>
      </c>
    </row>
    <row r="43" spans="1:13" ht="43.9" customHeight="1">
      <c r="A43" s="15" t="s">
        <v>134</v>
      </c>
      <c r="B43" s="16"/>
      <c r="C43" s="16"/>
      <c r="D43" s="16"/>
      <c r="E43" s="16"/>
      <c r="F43" s="16"/>
      <c r="G43" s="19"/>
      <c r="H43" s="16"/>
      <c r="I43" s="19"/>
      <c r="J43" s="20"/>
      <c r="K43" s="20"/>
      <c r="L43" s="16"/>
      <c r="M43" s="14" t="str">
        <f>IF(COUNTIFS(Checks!$A$7:$A$56,$A43,Checks!$J$7:$J$56,"&lt;&gt;")=1,IFERROR(INDEX(Checks!$J$7:$J$56,MATCH($A43,Checks!$A$7:$A$56,0)),""),"")</f>
        <v>Unused slot</v>
      </c>
    </row>
    <row r="44" spans="1:13" ht="43.9" customHeight="1">
      <c r="A44" s="15" t="s">
        <v>135</v>
      </c>
      <c r="B44" s="16"/>
      <c r="C44" s="16"/>
      <c r="D44" s="16"/>
      <c r="E44" s="16"/>
      <c r="F44" s="16"/>
      <c r="G44" s="19"/>
      <c r="H44" s="16"/>
      <c r="I44" s="19"/>
      <c r="J44" s="20"/>
      <c r="K44" s="20"/>
      <c r="L44" s="16"/>
      <c r="M44" s="14" t="str">
        <f>IF(COUNTIFS(Checks!$A$7:$A$56,$A44,Checks!$J$7:$J$56,"&lt;&gt;")=1,IFERROR(INDEX(Checks!$J$7:$J$56,MATCH($A44,Checks!$A$7:$A$56,0)),""),"")</f>
        <v>Unused slot</v>
      </c>
    </row>
    <row r="45" spans="1:13" ht="43.9" customHeight="1">
      <c r="A45" s="15" t="s">
        <v>136</v>
      </c>
      <c r="B45" s="16"/>
      <c r="C45" s="16"/>
      <c r="D45" s="16"/>
      <c r="E45" s="16"/>
      <c r="F45" s="16"/>
      <c r="G45" s="19"/>
      <c r="H45" s="16"/>
      <c r="I45" s="19"/>
      <c r="J45" s="20"/>
      <c r="K45" s="20"/>
      <c r="L45" s="16"/>
      <c r="M45" s="14" t="str">
        <f>IF(COUNTIFS(Checks!$A$7:$A$56,$A45,Checks!$J$7:$J$56,"&lt;&gt;")=1,IFERROR(INDEX(Checks!$J$7:$J$56,MATCH($A45,Checks!$A$7:$A$56,0)),""),"")</f>
        <v>Unused slot</v>
      </c>
    </row>
    <row r="46" spans="1:13" ht="43.9" customHeight="1">
      <c r="A46" s="15" t="s">
        <v>137</v>
      </c>
      <c r="B46" s="16"/>
      <c r="C46" s="16"/>
      <c r="D46" s="16"/>
      <c r="E46" s="16"/>
      <c r="F46" s="16"/>
      <c r="G46" s="19"/>
      <c r="H46" s="16"/>
      <c r="I46" s="19"/>
      <c r="J46" s="20"/>
      <c r="K46" s="20"/>
      <c r="L46" s="16"/>
      <c r="M46" s="14" t="str">
        <f>IF(COUNTIFS(Checks!$A$7:$A$56,$A46,Checks!$J$7:$J$56,"&lt;&gt;")=1,IFERROR(INDEX(Checks!$J$7:$J$56,MATCH($A46,Checks!$A$7:$A$56,0)),""),"")</f>
        <v>Unused slot</v>
      </c>
    </row>
    <row r="47" spans="1:13" ht="43.9" customHeight="1">
      <c r="A47" s="15" t="s">
        <v>138</v>
      </c>
      <c r="B47" s="16"/>
      <c r="C47" s="16"/>
      <c r="D47" s="16"/>
      <c r="E47" s="16"/>
      <c r="F47" s="16"/>
      <c r="G47" s="19"/>
      <c r="H47" s="16"/>
      <c r="I47" s="19"/>
      <c r="J47" s="20"/>
      <c r="K47" s="20"/>
      <c r="L47" s="16"/>
      <c r="M47" s="14" t="str">
        <f>IF(COUNTIFS(Checks!$A$7:$A$56,$A47,Checks!$J$7:$J$56,"&lt;&gt;")=1,IFERROR(INDEX(Checks!$J$7:$J$56,MATCH($A47,Checks!$A$7:$A$56,0)),""),"")</f>
        <v>Unused slot</v>
      </c>
    </row>
    <row r="48" spans="1:13" ht="43.9" customHeight="1">
      <c r="A48" s="15" t="s">
        <v>139</v>
      </c>
      <c r="B48" s="16"/>
      <c r="C48" s="16"/>
      <c r="D48" s="16"/>
      <c r="E48" s="16"/>
      <c r="F48" s="16"/>
      <c r="G48" s="19"/>
      <c r="H48" s="16"/>
      <c r="I48" s="19"/>
      <c r="J48" s="20"/>
      <c r="K48" s="20"/>
      <c r="L48" s="16"/>
      <c r="M48" s="14" t="str">
        <f>IF(COUNTIFS(Checks!$A$7:$A$56,$A48,Checks!$J$7:$J$56,"&lt;&gt;")=1,IFERROR(INDEX(Checks!$J$7:$J$56,MATCH($A48,Checks!$A$7:$A$56,0)),""),"")</f>
        <v>Unused slot</v>
      </c>
    </row>
    <row r="49" spans="1:13" ht="43.9" customHeight="1">
      <c r="A49" s="15" t="s">
        <v>140</v>
      </c>
      <c r="B49" s="16"/>
      <c r="C49" s="16"/>
      <c r="D49" s="16"/>
      <c r="E49" s="16"/>
      <c r="F49" s="16"/>
      <c r="G49" s="19"/>
      <c r="H49" s="16"/>
      <c r="I49" s="19"/>
      <c r="J49" s="20"/>
      <c r="K49" s="20"/>
      <c r="L49" s="16"/>
      <c r="M49" s="14" t="str">
        <f>IF(COUNTIFS(Checks!$A$7:$A$56,$A49,Checks!$J$7:$J$56,"&lt;&gt;")=1,IFERROR(INDEX(Checks!$J$7:$J$56,MATCH($A49,Checks!$A$7:$A$56,0)),""),"")</f>
        <v>Unused slot</v>
      </c>
    </row>
    <row r="50" spans="1:13" ht="43.9" customHeight="1">
      <c r="A50" s="15" t="s">
        <v>141</v>
      </c>
      <c r="B50" s="16"/>
      <c r="C50" s="16"/>
      <c r="D50" s="16"/>
      <c r="E50" s="16"/>
      <c r="F50" s="16"/>
      <c r="G50" s="19"/>
      <c r="H50" s="16"/>
      <c r="I50" s="19"/>
      <c r="J50" s="20"/>
      <c r="K50" s="20"/>
      <c r="L50" s="16"/>
      <c r="M50" s="14" t="str">
        <f>IF(COUNTIFS(Checks!$A$7:$A$56,$A50,Checks!$J$7:$J$56,"&lt;&gt;")=1,IFERROR(INDEX(Checks!$J$7:$J$56,MATCH($A50,Checks!$A$7:$A$56,0)),""),"")</f>
        <v>Unused slot</v>
      </c>
    </row>
    <row r="51" spans="1:13" ht="43.9" customHeight="1">
      <c r="A51" s="15" t="s">
        <v>142</v>
      </c>
      <c r="B51" s="16"/>
      <c r="C51" s="16"/>
      <c r="D51" s="16"/>
      <c r="E51" s="16"/>
      <c r="F51" s="16"/>
      <c r="G51" s="19"/>
      <c r="H51" s="16"/>
      <c r="I51" s="19"/>
      <c r="J51" s="20"/>
      <c r="K51" s="20"/>
      <c r="L51" s="16"/>
      <c r="M51" s="14" t="str">
        <f>IF(COUNTIFS(Checks!$A$7:$A$56,$A51,Checks!$J$7:$J$56,"&lt;&gt;")=1,IFERROR(INDEX(Checks!$J$7:$J$56,MATCH($A51,Checks!$A$7:$A$56,0)),""),"")</f>
        <v>Unused slot</v>
      </c>
    </row>
    <row r="52" spans="1:13" ht="43.9" customHeight="1">
      <c r="A52" s="15" t="s">
        <v>143</v>
      </c>
      <c r="B52" s="16"/>
      <c r="C52" s="16"/>
      <c r="D52" s="16"/>
      <c r="E52" s="16"/>
      <c r="F52" s="16"/>
      <c r="G52" s="19"/>
      <c r="H52" s="16"/>
      <c r="I52" s="19"/>
      <c r="J52" s="20"/>
      <c r="K52" s="20"/>
      <c r="L52" s="16"/>
      <c r="M52" s="14" t="str">
        <f>IF(COUNTIFS(Checks!$A$7:$A$56,$A52,Checks!$J$7:$J$56,"&lt;&gt;")=1,IFERROR(INDEX(Checks!$J$7:$J$56,MATCH($A52,Checks!$A$7:$A$56,0)),""),"")</f>
        <v>Unused slot</v>
      </c>
    </row>
    <row r="53" spans="1:13" ht="43.9" customHeight="1">
      <c r="A53" s="15" t="s">
        <v>144</v>
      </c>
      <c r="B53" s="16"/>
      <c r="C53" s="16"/>
      <c r="D53" s="16"/>
      <c r="E53" s="16"/>
      <c r="F53" s="16"/>
      <c r="G53" s="19"/>
      <c r="H53" s="16"/>
      <c r="I53" s="19"/>
      <c r="J53" s="20"/>
      <c r="K53" s="20"/>
      <c r="L53" s="16"/>
      <c r="M53" s="14" t="str">
        <f>IF(COUNTIFS(Checks!$A$7:$A$56,$A53,Checks!$J$7:$J$56,"&lt;&gt;")=1,IFERROR(INDEX(Checks!$J$7:$J$56,MATCH($A53,Checks!$A$7:$A$56,0)),""),"")</f>
        <v>Unused slot</v>
      </c>
    </row>
    <row r="54" spans="1:13" ht="43.9" customHeight="1">
      <c r="A54" s="15" t="s">
        <v>145</v>
      </c>
      <c r="B54" s="16"/>
      <c r="C54" s="16"/>
      <c r="D54" s="16"/>
      <c r="E54" s="16"/>
      <c r="F54" s="16"/>
      <c r="G54" s="19"/>
      <c r="H54" s="16"/>
      <c r="I54" s="19"/>
      <c r="J54" s="20"/>
      <c r="K54" s="20"/>
      <c r="L54" s="16"/>
      <c r="M54" s="14" t="str">
        <f>IF(COUNTIFS(Checks!$A$7:$A$56,$A54,Checks!$J$7:$J$56,"&lt;&gt;")=1,IFERROR(INDEX(Checks!$J$7:$J$56,MATCH($A54,Checks!$A$7:$A$56,0)),""),"")</f>
        <v>Unused slot</v>
      </c>
    </row>
    <row r="55" spans="1:13" ht="43.9" customHeight="1">
      <c r="A55" s="15" t="s">
        <v>146</v>
      </c>
      <c r="B55" s="16"/>
      <c r="C55" s="16"/>
      <c r="D55" s="16"/>
      <c r="E55" s="16"/>
      <c r="F55" s="16"/>
      <c r="G55" s="19"/>
      <c r="H55" s="16"/>
      <c r="I55" s="19"/>
      <c r="J55" s="20"/>
      <c r="K55" s="20"/>
      <c r="L55" s="16"/>
      <c r="M55" s="14" t="str">
        <f>IF(COUNTIFS(Checks!$A$7:$A$56,$A55,Checks!$J$7:$J$56,"&lt;&gt;")=1,IFERROR(INDEX(Checks!$J$7:$J$56,MATCH($A55,Checks!$A$7:$A$56,0)),""),"")</f>
        <v>Unused slot</v>
      </c>
    </row>
    <row r="56" spans="1:13" ht="43.9" customHeight="1">
      <c r="A56" s="15" t="s">
        <v>147</v>
      </c>
      <c r="B56" s="16"/>
      <c r="C56" s="16"/>
      <c r="D56" s="16"/>
      <c r="E56" s="16"/>
      <c r="F56" s="16"/>
      <c r="G56" s="19"/>
      <c r="H56" s="16"/>
      <c r="I56" s="19"/>
      <c r="J56" s="20"/>
      <c r="K56" s="20"/>
      <c r="L56" s="16"/>
      <c r="M56" s="14" t="str">
        <f>IF(COUNTIFS(Checks!$A$7:$A$56,$A56,Checks!$J$7:$J$56,"&lt;&gt;")=1,IFERROR(INDEX(Checks!$J$7:$J$56,MATCH($A56,Checks!$A$7:$A$56,0)),""),"")</f>
        <v>Unused slot</v>
      </c>
    </row>
    <row r="57" spans="1:13" ht="22.9" customHeight="1">
      <c r="A57" s="1"/>
      <c r="B57" s="1"/>
      <c r="C57" s="1"/>
      <c r="D57" s="1"/>
      <c r="E57" s="1"/>
      <c r="F57" s="1"/>
      <c r="G57" s="1"/>
      <c r="H57" s="1"/>
      <c r="I57" s="1"/>
      <c r="J57" s="1"/>
      <c r="K57" s="1"/>
      <c r="L57" s="1"/>
      <c r="M57" s="1"/>
    </row>
    <row r="58" spans="1:13" ht="22.9" customHeight="1">
      <c r="A58" s="1"/>
      <c r="B58" s="1"/>
      <c r="C58" s="1"/>
      <c r="D58" s="1"/>
      <c r="E58" s="1"/>
      <c r="F58" s="1"/>
      <c r="G58" s="1"/>
      <c r="H58" s="1"/>
      <c r="I58" s="1"/>
      <c r="J58" s="1"/>
      <c r="K58" s="1"/>
      <c r="L58" s="1"/>
      <c r="M58" s="1"/>
    </row>
    <row r="59" spans="1:13" ht="22.9" customHeight="1">
      <c r="A59" s="1"/>
      <c r="B59" s="1"/>
      <c r="C59" s="1"/>
      <c r="D59" s="1"/>
      <c r="E59" s="1"/>
      <c r="F59" s="1"/>
      <c r="G59" s="1"/>
      <c r="H59" s="1"/>
      <c r="I59" s="1"/>
      <c r="J59" s="1"/>
      <c r="K59" s="1"/>
      <c r="L59" s="1"/>
      <c r="M59" s="1"/>
    </row>
    <row r="60" spans="1:13" ht="22.9" customHeight="1">
      <c r="A60" s="1"/>
      <c r="B60" s="1"/>
      <c r="C60" s="1"/>
      <c r="D60" s="1"/>
      <c r="E60" s="1"/>
      <c r="F60" s="1"/>
      <c r="G60" s="1"/>
      <c r="H60" s="1"/>
      <c r="I60" s="1"/>
      <c r="J60" s="1"/>
      <c r="K60" s="1"/>
      <c r="L60" s="1"/>
      <c r="M60" s="1"/>
    </row>
    <row r="61" spans="1:13" ht="22.9" customHeight="1">
      <c r="A61" s="1"/>
      <c r="B61" s="1"/>
      <c r="C61" s="1"/>
      <c r="D61" s="1"/>
      <c r="E61" s="1"/>
      <c r="F61" s="1"/>
      <c r="G61" s="1"/>
      <c r="H61" s="1"/>
      <c r="I61" s="1"/>
      <c r="J61" s="1"/>
      <c r="K61" s="1"/>
      <c r="L61" s="1"/>
      <c r="M61" s="1"/>
    </row>
    <row r="62" spans="1:13" ht="22.9" customHeight="1">
      <c r="A62" s="1"/>
      <c r="B62" s="1"/>
      <c r="C62" s="1"/>
      <c r="D62" s="1"/>
      <c r="E62" s="1"/>
      <c r="F62" s="1"/>
      <c r="G62" s="1"/>
      <c r="H62" s="1"/>
      <c r="I62" s="1"/>
      <c r="J62" s="1"/>
      <c r="K62" s="1"/>
      <c r="L62" s="1"/>
      <c r="M62" s="1"/>
    </row>
    <row r="63" spans="1:13" ht="22.9" customHeight="1">
      <c r="A63" s="1"/>
      <c r="B63" s="1"/>
      <c r="C63" s="1"/>
      <c r="D63" s="1"/>
      <c r="E63" s="1"/>
      <c r="F63" s="1"/>
      <c r="G63" s="1"/>
      <c r="H63" s="1"/>
      <c r="I63" s="1"/>
      <c r="J63" s="1"/>
      <c r="K63" s="1"/>
      <c r="L63" s="1"/>
      <c r="M63" s="1"/>
    </row>
    <row r="64" spans="1:13" ht="22.9" customHeight="1">
      <c r="A64" s="1"/>
      <c r="B64" s="1"/>
      <c r="C64" s="1"/>
      <c r="D64" s="1"/>
      <c r="E64" s="1"/>
      <c r="F64" s="1"/>
      <c r="G64" s="1"/>
      <c r="H64" s="1"/>
      <c r="I64" s="1"/>
      <c r="J64" s="1"/>
      <c r="K64" s="1"/>
      <c r="L64" s="1"/>
      <c r="M64" s="1"/>
    </row>
    <row r="65" spans="1:13" ht="22.9" customHeight="1">
      <c r="A65" s="1"/>
      <c r="B65" s="1"/>
      <c r="C65" s="1"/>
      <c r="D65" s="1"/>
      <c r="E65" s="1"/>
      <c r="F65" s="1"/>
      <c r="G65" s="1"/>
      <c r="H65" s="1"/>
      <c r="I65" s="1"/>
      <c r="J65" s="1"/>
      <c r="K65" s="1"/>
      <c r="L65" s="1"/>
      <c r="M65" s="1"/>
    </row>
    <row r="66" spans="1:13" ht="22.9" customHeight="1">
      <c r="A66" s="1"/>
      <c r="B66" s="1"/>
      <c r="C66" s="1"/>
      <c r="D66" s="1"/>
      <c r="E66" s="1"/>
      <c r="F66" s="1"/>
      <c r="G66" s="1"/>
      <c r="H66" s="1"/>
      <c r="I66" s="1"/>
      <c r="J66" s="1"/>
      <c r="K66" s="1"/>
      <c r="L66" s="1"/>
      <c r="M66" s="1"/>
    </row>
    <row r="67" spans="1:13" ht="22.9" customHeight="1">
      <c r="A67" s="1"/>
      <c r="B67" s="1"/>
      <c r="C67" s="1"/>
      <c r="D67" s="1"/>
      <c r="E67" s="1"/>
      <c r="F67" s="1"/>
      <c r="G67" s="1"/>
      <c r="H67" s="1"/>
      <c r="I67" s="1"/>
      <c r="J67" s="1"/>
      <c r="K67" s="1"/>
      <c r="L67" s="1"/>
      <c r="M67" s="1"/>
    </row>
    <row r="68" spans="1:13" ht="22.9" customHeight="1">
      <c r="A68" s="1"/>
      <c r="B68" s="1"/>
      <c r="C68" s="1"/>
      <c r="D68" s="1"/>
      <c r="E68" s="1"/>
      <c r="F68" s="1"/>
      <c r="G68" s="1"/>
      <c r="H68" s="1"/>
      <c r="I68" s="1"/>
      <c r="J68" s="1"/>
      <c r="K68" s="1"/>
      <c r="L68" s="1"/>
      <c r="M68" s="1"/>
    </row>
    <row r="69" spans="1:13" ht="22.9" customHeight="1">
      <c r="A69" s="1"/>
      <c r="B69" s="1"/>
      <c r="C69" s="1"/>
      <c r="D69" s="1"/>
      <c r="E69" s="1"/>
      <c r="F69" s="1"/>
      <c r="G69" s="1"/>
      <c r="H69" s="1"/>
      <c r="I69" s="1"/>
      <c r="J69" s="1"/>
      <c r="K69" s="1"/>
      <c r="L69" s="1"/>
      <c r="M69" s="1"/>
    </row>
    <row r="70" spans="1:13" ht="22.9" customHeight="1">
      <c r="A70" s="1"/>
      <c r="B70" s="1"/>
      <c r="C70" s="1"/>
      <c r="D70" s="1"/>
      <c r="E70" s="1"/>
      <c r="F70" s="1"/>
      <c r="G70" s="1"/>
      <c r="H70" s="1"/>
      <c r="I70" s="1"/>
      <c r="J70" s="1"/>
      <c r="K70" s="1"/>
      <c r="L70" s="1"/>
      <c r="M70" s="1"/>
    </row>
    <row r="71" spans="1:13" ht="22.9" customHeight="1">
      <c r="A71" s="1"/>
      <c r="B71" s="1"/>
      <c r="C71" s="1"/>
      <c r="D71" s="1"/>
      <c r="E71" s="1"/>
      <c r="F71" s="1"/>
      <c r="G71" s="1"/>
      <c r="H71" s="1"/>
      <c r="I71" s="1"/>
      <c r="J71" s="1"/>
      <c r="K71" s="1"/>
      <c r="L71" s="1"/>
      <c r="M71" s="1"/>
    </row>
    <row r="72" spans="1:13" ht="22.9" customHeight="1">
      <c r="A72" s="1"/>
      <c r="B72" s="1"/>
      <c r="C72" s="1"/>
      <c r="D72" s="1"/>
      <c r="E72" s="1"/>
      <c r="F72" s="1"/>
      <c r="G72" s="1"/>
      <c r="H72" s="1"/>
      <c r="I72" s="1"/>
      <c r="J72" s="1"/>
      <c r="K72" s="1"/>
      <c r="L72" s="1"/>
      <c r="M72" s="1"/>
    </row>
    <row r="73" spans="1:13" ht="22.9" customHeight="1">
      <c r="A73" s="1"/>
      <c r="B73" s="1"/>
      <c r="C73" s="1"/>
      <c r="D73" s="1"/>
      <c r="E73" s="1"/>
      <c r="F73" s="1"/>
      <c r="G73" s="1"/>
      <c r="H73" s="1"/>
      <c r="I73" s="1"/>
      <c r="J73" s="1"/>
      <c r="K73" s="1"/>
      <c r="L73" s="1"/>
      <c r="M73" s="1"/>
    </row>
    <row r="74" spans="1:13" ht="22.9" customHeight="1">
      <c r="A74" s="1"/>
      <c r="B74" s="1"/>
      <c r="C74" s="1"/>
      <c r="D74" s="1"/>
      <c r="E74" s="1"/>
      <c r="F74" s="1"/>
      <c r="G74" s="1"/>
      <c r="H74" s="1"/>
      <c r="I74" s="1"/>
      <c r="J74" s="1"/>
      <c r="K74" s="1"/>
      <c r="L74" s="1"/>
      <c r="M74" s="1"/>
    </row>
    <row r="75" spans="1:13" ht="22.9" customHeight="1">
      <c r="A75" s="1"/>
      <c r="B75" s="1"/>
      <c r="C75" s="1"/>
      <c r="D75" s="1"/>
      <c r="E75" s="1"/>
      <c r="F75" s="1"/>
      <c r="G75" s="1"/>
      <c r="H75" s="1"/>
      <c r="I75" s="1"/>
      <c r="J75" s="1"/>
      <c r="K75" s="1"/>
      <c r="L75" s="1"/>
      <c r="M75" s="1"/>
    </row>
    <row r="76" spans="1:13" ht="22.9" customHeight="1">
      <c r="A76" s="1"/>
      <c r="B76" s="1"/>
      <c r="C76" s="1"/>
      <c r="D76" s="1"/>
      <c r="E76" s="1"/>
      <c r="F76" s="1"/>
      <c r="G76" s="1"/>
      <c r="H76" s="1"/>
      <c r="I76" s="1"/>
      <c r="J76" s="1"/>
      <c r="K76" s="1"/>
      <c r="L76" s="1"/>
      <c r="M76" s="1"/>
    </row>
    <row r="77" spans="1:13" ht="22.9" customHeight="1">
      <c r="A77" s="1"/>
      <c r="B77" s="1"/>
      <c r="C77" s="1"/>
      <c r="D77" s="1"/>
      <c r="E77" s="1"/>
      <c r="F77" s="1"/>
      <c r="G77" s="1"/>
      <c r="H77" s="1"/>
      <c r="I77" s="1"/>
      <c r="J77" s="1"/>
      <c r="K77" s="1"/>
      <c r="L77" s="1"/>
      <c r="M77" s="1"/>
    </row>
    <row r="78" spans="1:13" ht="22.9" customHeight="1">
      <c r="A78" s="1"/>
      <c r="B78" s="1"/>
      <c r="C78" s="1"/>
      <c r="D78" s="1"/>
      <c r="E78" s="1"/>
      <c r="F78" s="1"/>
      <c r="G78" s="1"/>
      <c r="H78" s="1"/>
      <c r="I78" s="1"/>
      <c r="J78" s="1"/>
      <c r="K78" s="1"/>
      <c r="L78" s="1"/>
      <c r="M78" s="1"/>
    </row>
    <row r="79" spans="1:13" ht="22.9" customHeight="1">
      <c r="A79" s="1"/>
      <c r="B79" s="1"/>
      <c r="C79" s="1"/>
      <c r="D79" s="1"/>
      <c r="E79" s="1"/>
      <c r="F79" s="1"/>
      <c r="G79" s="1"/>
      <c r="H79" s="1"/>
      <c r="I79" s="1"/>
      <c r="J79" s="1"/>
      <c r="K79" s="1"/>
      <c r="L79" s="1"/>
      <c r="M79" s="1"/>
    </row>
    <row r="80" spans="1:13" ht="22.9" customHeight="1">
      <c r="A80" s="1"/>
      <c r="B80" s="1"/>
      <c r="C80" s="1"/>
      <c r="D80" s="1"/>
      <c r="E80" s="1"/>
      <c r="F80" s="1"/>
      <c r="G80" s="1"/>
      <c r="H80" s="1"/>
      <c r="I80" s="1"/>
      <c r="J80" s="1"/>
      <c r="K80" s="1"/>
      <c r="L80" s="1"/>
      <c r="M80" s="1"/>
    </row>
  </sheetData>
  <mergeCells count="2">
    <mergeCell ref="A1:M2"/>
    <mergeCell ref="A3:M4"/>
  </mergeCells>
  <dataValidations count="6">
    <dataValidation type="list" allowBlank="1" showInputMessage="1" showErrorMessage="1" errorTitle="Choose a listed value" error="Use the dropdown. Blank means not yet known; it is not approval." promptTitle="Review decision" prompt="Only Evidence-backed can enter planning. External research alone is not local verification." sqref="B7:B56" xr:uid="{00000000-0002-0000-0500-000000000000}">
      <formula1>"Hypothesis,Plausible,Evidence-backed"</formula1>
    </dataValidation>
    <dataValidation type="list" allowBlank="1" showInputMessage="1" showErrorMessage="1" errorTitle="Choose a listed value" error="Use the dropdown. Blank means not yet known; it is not approval." promptTitle="Review decision" prompt="A reduction needs an explicit risk acceptance reference and approval." sqref="C7:C56" xr:uid="{00000000-0002-0000-0500-000001000000}">
      <formula1>"Not assessed,Equivalent or better,Accepted reduction"</formula1>
    </dataValidation>
    <dataValidation type="list" allowBlank="1" showInputMessage="1" showErrorMessage="1" errorTitle="Choose a listed value" error="Use the dropdown. Blank means not yet known; it is not approval." promptTitle="Review decision" prompt="Only Approved or Implemented can enter forecast planning; measured results require Implemented." sqref="E7:E56" xr:uid="{00000000-0002-0000-0500-000002000000}">
      <formula1>"Open,Pilot approved,Approved,Implemented,Rejected"</formula1>
    </dataValidation>
    <dataValidation type="list" allowBlank="1" showInputMessage="1" showErrorMessage="1" errorTitle="Choose a listed value" error="Use the dropdown. Blank means not yet known; it is not approval." promptTitle="Review decision" prompt="Realized needs actual measured changes, period, evidence and verification." sqref="H7:H56" xr:uid="{00000000-0002-0000-0500-000003000000}">
      <formula1>"Modeled,Validated,Realized"</formula1>
    </dataValidation>
    <dataValidation type="date" allowBlank="1" showInputMessage="1" showErrorMessage="1" errorTitle="Enter a date" error="Use a date between 2000 and 2100." promptTitle="Required date" prompt="Use a real date. Future dates do not contribute before the planning as-of date." sqref="G7:G56 I7:I56" xr:uid="{00000000-0002-0000-0500-000004000000}">
      <formula1>36526</formula1>
      <formula2>73050</formula2>
    </dataValidation>
    <dataValidation type="decimal" allowBlank="1" showInputMessage="1" showErrorMessage="1" errorTitle="Invalid number" error="Enter a valid number within the stated range." promptTitle="Usable proportion" prompt="0 to 100%. Positive saved hours are scaled by this share; extra work is never discounted." sqref="J7:K56" xr:uid="{00000000-0002-0000-0500-000006000000}">
      <formula1>0</formula1>
      <formula2>1</formula2>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2" width="20" customWidth="1"/>
    <col min="3" max="3" width="15" customWidth="1"/>
    <col min="4" max="6" width="20" customWidth="1"/>
    <col min="7" max="7" width="25" customWidth="1"/>
    <col min="8" max="8" width="20" customWidth="1"/>
    <col min="9" max="9" width="23" customWidth="1"/>
    <col min="10" max="10" width="38" customWidth="1"/>
    <col min="11" max="11" width="18" customWidth="1"/>
  </cols>
  <sheetData>
    <row r="1" spans="1:11" ht="24" customHeight="1">
      <c r="A1" s="31" t="s">
        <v>204</v>
      </c>
      <c r="B1" s="31"/>
      <c r="C1" s="31"/>
      <c r="D1" s="31"/>
      <c r="E1" s="31"/>
      <c r="F1" s="31"/>
      <c r="G1" s="31"/>
      <c r="H1" s="31"/>
      <c r="I1" s="31"/>
      <c r="J1" s="31"/>
      <c r="K1" s="31"/>
    </row>
    <row r="2" spans="1:11" ht="24" customHeight="1">
      <c r="A2" s="31"/>
      <c r="B2" s="31"/>
      <c r="C2" s="31"/>
      <c r="D2" s="31"/>
      <c r="E2" s="31"/>
      <c r="F2" s="31"/>
      <c r="G2" s="31"/>
      <c r="H2" s="31"/>
      <c r="I2" s="31"/>
      <c r="J2" s="31"/>
      <c r="K2" s="31"/>
    </row>
    <row r="3" spans="1:11" ht="22.15" customHeight="1">
      <c r="A3" s="32" t="s">
        <v>205</v>
      </c>
      <c r="B3" s="32"/>
      <c r="C3" s="32"/>
      <c r="D3" s="32"/>
      <c r="E3" s="32"/>
      <c r="F3" s="32"/>
      <c r="G3" s="32"/>
      <c r="H3" s="32"/>
      <c r="I3" s="32"/>
      <c r="J3" s="32"/>
      <c r="K3" s="32"/>
    </row>
    <row r="4" spans="1:11" ht="22.15" customHeight="1">
      <c r="A4" s="32"/>
      <c r="B4" s="32"/>
      <c r="C4" s="32"/>
      <c r="D4" s="32"/>
      <c r="E4" s="32"/>
      <c r="F4" s="32"/>
      <c r="G4" s="32"/>
      <c r="H4" s="32"/>
      <c r="I4" s="32"/>
      <c r="J4" s="32"/>
      <c r="K4" s="32"/>
    </row>
    <row r="5" spans="1:11" ht="22.9" customHeight="1">
      <c r="A5" s="4" t="str">
        <f>IFERROR(HYPERLINK("#'Start'!A1","← Start"),"← Start")</f>
        <v>← Start</v>
      </c>
      <c r="B5" s="1"/>
      <c r="C5" s="1"/>
      <c r="D5" s="1"/>
      <c r="E5" s="1"/>
      <c r="F5" s="1"/>
      <c r="G5" s="1"/>
      <c r="H5" s="1"/>
      <c r="I5" s="1"/>
      <c r="J5" s="1"/>
      <c r="K5" s="1"/>
    </row>
    <row r="6" spans="1:11" ht="43.15" customHeight="1">
      <c r="A6" s="11" t="s">
        <v>62</v>
      </c>
      <c r="B6" s="11" t="s">
        <v>206</v>
      </c>
      <c r="C6" s="11" t="s">
        <v>207</v>
      </c>
      <c r="D6" s="11" t="s">
        <v>208</v>
      </c>
      <c r="E6" s="11" t="s">
        <v>209</v>
      </c>
      <c r="F6" s="11" t="s">
        <v>210</v>
      </c>
      <c r="G6" s="11" t="s">
        <v>211</v>
      </c>
      <c r="H6" s="11" t="s">
        <v>212</v>
      </c>
      <c r="I6" s="11" t="s">
        <v>213</v>
      </c>
      <c r="J6" s="11" t="s">
        <v>214</v>
      </c>
      <c r="K6" s="11" t="s">
        <v>215</v>
      </c>
    </row>
    <row r="7" spans="1:11" ht="43.9" customHeight="1">
      <c r="A7" s="15" t="s">
        <v>33</v>
      </c>
      <c r="B7" s="16"/>
      <c r="C7" s="19"/>
      <c r="D7" s="16" t="s">
        <v>216</v>
      </c>
      <c r="E7" s="16" t="s">
        <v>216</v>
      </c>
      <c r="F7" s="16" t="s">
        <v>216</v>
      </c>
      <c r="G7" s="16" t="s">
        <v>216</v>
      </c>
      <c r="H7" s="16" t="s">
        <v>216</v>
      </c>
      <c r="I7" s="16" t="s">
        <v>216</v>
      </c>
      <c r="J7" s="16"/>
      <c r="K7" s="15" t="str">
        <f>IF(OR(COUNTIF(D7:I7,"No")&gt;0,LEN(TRIM(J7))&gt;0),"Blocked",IF(AND(COUNTIF(D7:I7,"Yes")=6,LEN(TRIM(B7))&gt;0,ISNUMBER(C7),C7&gt;0,C7&lt;=Settings!$B$7),"Clear","Unchecked"))</f>
        <v>Unchecked</v>
      </c>
    </row>
    <row r="8" spans="1:11" ht="43.9" customHeight="1">
      <c r="A8" s="15" t="s">
        <v>75</v>
      </c>
      <c r="B8" s="16"/>
      <c r="C8" s="19"/>
      <c r="D8" s="16" t="s">
        <v>216</v>
      </c>
      <c r="E8" s="16" t="s">
        <v>216</v>
      </c>
      <c r="F8" s="16" t="s">
        <v>216</v>
      </c>
      <c r="G8" s="16" t="s">
        <v>216</v>
      </c>
      <c r="H8" s="16" t="s">
        <v>216</v>
      </c>
      <c r="I8" s="16" t="s">
        <v>216</v>
      </c>
      <c r="J8" s="16"/>
      <c r="K8" s="15" t="str">
        <f>IF(OR(COUNTIF(D8:I8,"No")&gt;0,LEN(TRIM(J8))&gt;0),"Blocked",IF(AND(COUNTIF(D8:I8,"Yes")=6,LEN(TRIM(B8))&gt;0,ISNUMBER(C8),C8&gt;0,C8&lt;=Settings!$B$7),"Clear","Unchecked"))</f>
        <v>Unchecked</v>
      </c>
    </row>
    <row r="9" spans="1:11" ht="43.9" customHeight="1">
      <c r="A9" s="15" t="s">
        <v>78</v>
      </c>
      <c r="B9" s="16"/>
      <c r="C9" s="19"/>
      <c r="D9" s="16" t="s">
        <v>216</v>
      </c>
      <c r="E9" s="16" t="s">
        <v>216</v>
      </c>
      <c r="F9" s="16" t="s">
        <v>216</v>
      </c>
      <c r="G9" s="16" t="s">
        <v>216</v>
      </c>
      <c r="H9" s="16" t="s">
        <v>216</v>
      </c>
      <c r="I9" s="16" t="s">
        <v>216</v>
      </c>
      <c r="J9" s="16"/>
      <c r="K9" s="15" t="str">
        <f>IF(OR(COUNTIF(D9:I9,"No")&gt;0,LEN(TRIM(J9))&gt;0),"Blocked",IF(AND(COUNTIF(D9:I9,"Yes")=6,LEN(TRIM(B9))&gt;0,ISNUMBER(C9),C9&gt;0,C9&lt;=Settings!$B$7),"Clear","Unchecked"))</f>
        <v>Unchecked</v>
      </c>
    </row>
    <row r="10" spans="1:11" ht="43.9" customHeight="1">
      <c r="A10" s="15" t="s">
        <v>82</v>
      </c>
      <c r="B10" s="16"/>
      <c r="C10" s="19"/>
      <c r="D10" s="16" t="s">
        <v>216</v>
      </c>
      <c r="E10" s="16" t="s">
        <v>216</v>
      </c>
      <c r="F10" s="16" t="s">
        <v>216</v>
      </c>
      <c r="G10" s="16" t="s">
        <v>216</v>
      </c>
      <c r="H10" s="16" t="s">
        <v>216</v>
      </c>
      <c r="I10" s="16" t="s">
        <v>216</v>
      </c>
      <c r="J10" s="16"/>
      <c r="K10" s="15" t="str">
        <f>IF(OR(COUNTIF(D10:I10,"No")&gt;0,LEN(TRIM(J10))&gt;0),"Blocked",IF(AND(COUNTIF(D10:I10,"Yes")=6,LEN(TRIM(B10))&gt;0,ISNUMBER(C10),C10&gt;0,C10&lt;=Settings!$B$7),"Clear","Unchecked"))</f>
        <v>Unchecked</v>
      </c>
    </row>
    <row r="11" spans="1:11" ht="43.9" customHeight="1">
      <c r="A11" s="15" t="s">
        <v>85</v>
      </c>
      <c r="B11" s="16"/>
      <c r="C11" s="19"/>
      <c r="D11" s="16" t="s">
        <v>216</v>
      </c>
      <c r="E11" s="16" t="s">
        <v>216</v>
      </c>
      <c r="F11" s="16" t="s">
        <v>216</v>
      </c>
      <c r="G11" s="16" t="s">
        <v>216</v>
      </c>
      <c r="H11" s="16" t="s">
        <v>216</v>
      </c>
      <c r="I11" s="16" t="s">
        <v>216</v>
      </c>
      <c r="J11" s="16"/>
      <c r="K11" s="15" t="str">
        <f>IF(OR(COUNTIF(D11:I11,"No")&gt;0,LEN(TRIM(J11))&gt;0),"Blocked",IF(AND(COUNTIF(D11:I11,"Yes")=6,LEN(TRIM(B11))&gt;0,ISNUMBER(C11),C11&gt;0,C11&lt;=Settings!$B$7),"Clear","Unchecked"))</f>
        <v>Unchecked</v>
      </c>
    </row>
    <row r="12" spans="1:11" ht="43.9" customHeight="1">
      <c r="A12" s="15" t="s">
        <v>88</v>
      </c>
      <c r="B12" s="16"/>
      <c r="C12" s="19"/>
      <c r="D12" s="16" t="s">
        <v>216</v>
      </c>
      <c r="E12" s="16" t="s">
        <v>216</v>
      </c>
      <c r="F12" s="16" t="s">
        <v>216</v>
      </c>
      <c r="G12" s="16" t="s">
        <v>216</v>
      </c>
      <c r="H12" s="16" t="s">
        <v>216</v>
      </c>
      <c r="I12" s="16" t="s">
        <v>216</v>
      </c>
      <c r="J12" s="16"/>
      <c r="K12" s="15" t="str">
        <f>IF(OR(COUNTIF(D12:I12,"No")&gt;0,LEN(TRIM(J12))&gt;0),"Blocked",IF(AND(COUNTIF(D12:I12,"Yes")=6,LEN(TRIM(B12))&gt;0,ISNUMBER(C12),C12&gt;0,C12&lt;=Settings!$B$7),"Clear","Unchecked"))</f>
        <v>Unchecked</v>
      </c>
    </row>
    <row r="13" spans="1:11" ht="43.9" customHeight="1">
      <c r="A13" s="15" t="s">
        <v>91</v>
      </c>
      <c r="B13" s="16"/>
      <c r="C13" s="19"/>
      <c r="D13" s="16" t="s">
        <v>216</v>
      </c>
      <c r="E13" s="16" t="s">
        <v>216</v>
      </c>
      <c r="F13" s="16" t="s">
        <v>216</v>
      </c>
      <c r="G13" s="16" t="s">
        <v>216</v>
      </c>
      <c r="H13" s="16" t="s">
        <v>216</v>
      </c>
      <c r="I13" s="16" t="s">
        <v>216</v>
      </c>
      <c r="J13" s="16"/>
      <c r="K13" s="15" t="str">
        <f>IF(OR(COUNTIF(D13:I13,"No")&gt;0,LEN(TRIM(J13))&gt;0),"Blocked",IF(AND(COUNTIF(D13:I13,"Yes")=6,LEN(TRIM(B13))&gt;0,ISNUMBER(C13),C13&gt;0,C13&lt;=Settings!$B$7),"Clear","Unchecked"))</f>
        <v>Unchecked</v>
      </c>
    </row>
    <row r="14" spans="1:11" ht="43.9" customHeight="1">
      <c r="A14" s="15" t="s">
        <v>94</v>
      </c>
      <c r="B14" s="16"/>
      <c r="C14" s="19"/>
      <c r="D14" s="16" t="s">
        <v>216</v>
      </c>
      <c r="E14" s="16" t="s">
        <v>216</v>
      </c>
      <c r="F14" s="16" t="s">
        <v>216</v>
      </c>
      <c r="G14" s="16" t="s">
        <v>216</v>
      </c>
      <c r="H14" s="16" t="s">
        <v>216</v>
      </c>
      <c r="I14" s="16" t="s">
        <v>216</v>
      </c>
      <c r="J14" s="16"/>
      <c r="K14" s="15" t="str">
        <f>IF(OR(COUNTIF(D14:I14,"No")&gt;0,LEN(TRIM(J14))&gt;0),"Blocked",IF(AND(COUNTIF(D14:I14,"Yes")=6,LEN(TRIM(B14))&gt;0,ISNUMBER(C14),C14&gt;0,C14&lt;=Settings!$B$7),"Clear","Unchecked"))</f>
        <v>Unchecked</v>
      </c>
    </row>
    <row r="15" spans="1:11" ht="43.9" customHeight="1">
      <c r="A15" s="15" t="s">
        <v>97</v>
      </c>
      <c r="B15" s="16"/>
      <c r="C15" s="19"/>
      <c r="D15" s="16" t="s">
        <v>216</v>
      </c>
      <c r="E15" s="16" t="s">
        <v>216</v>
      </c>
      <c r="F15" s="16" t="s">
        <v>216</v>
      </c>
      <c r="G15" s="16" t="s">
        <v>216</v>
      </c>
      <c r="H15" s="16" t="s">
        <v>216</v>
      </c>
      <c r="I15" s="16" t="s">
        <v>216</v>
      </c>
      <c r="J15" s="16"/>
      <c r="K15" s="15" t="str">
        <f>IF(OR(COUNTIF(D15:I15,"No")&gt;0,LEN(TRIM(J15))&gt;0),"Blocked",IF(AND(COUNTIF(D15:I15,"Yes")=6,LEN(TRIM(B15))&gt;0,ISNUMBER(C15),C15&gt;0,C15&lt;=Settings!$B$7),"Clear","Unchecked"))</f>
        <v>Unchecked</v>
      </c>
    </row>
    <row r="16" spans="1:11" ht="43.9" customHeight="1">
      <c r="A16" s="15" t="s">
        <v>102</v>
      </c>
      <c r="B16" s="16"/>
      <c r="C16" s="19"/>
      <c r="D16" s="16" t="s">
        <v>216</v>
      </c>
      <c r="E16" s="16" t="s">
        <v>216</v>
      </c>
      <c r="F16" s="16" t="s">
        <v>216</v>
      </c>
      <c r="G16" s="16" t="s">
        <v>216</v>
      </c>
      <c r="H16" s="16" t="s">
        <v>216</v>
      </c>
      <c r="I16" s="16" t="s">
        <v>216</v>
      </c>
      <c r="J16" s="16"/>
      <c r="K16" s="15" t="str">
        <f>IF(OR(COUNTIF(D16:I16,"No")&gt;0,LEN(TRIM(J16))&gt;0),"Blocked",IF(AND(COUNTIF(D16:I16,"Yes")=6,LEN(TRIM(B16))&gt;0,ISNUMBER(C16),C16&gt;0,C16&lt;=Settings!$B$7),"Clear","Unchecked"))</f>
        <v>Unchecked</v>
      </c>
    </row>
    <row r="17" spans="1:11" ht="43.9" customHeight="1">
      <c r="A17" s="15" t="s">
        <v>105</v>
      </c>
      <c r="B17" s="16"/>
      <c r="C17" s="19"/>
      <c r="D17" s="16" t="s">
        <v>216</v>
      </c>
      <c r="E17" s="16" t="s">
        <v>216</v>
      </c>
      <c r="F17" s="16" t="s">
        <v>216</v>
      </c>
      <c r="G17" s="16" t="s">
        <v>216</v>
      </c>
      <c r="H17" s="16" t="s">
        <v>216</v>
      </c>
      <c r="I17" s="16" t="s">
        <v>216</v>
      </c>
      <c r="J17" s="16"/>
      <c r="K17" s="15" t="str">
        <f>IF(OR(COUNTIF(D17:I17,"No")&gt;0,LEN(TRIM(J17))&gt;0),"Blocked",IF(AND(COUNTIF(D17:I17,"Yes")=6,LEN(TRIM(B17))&gt;0,ISNUMBER(C17),C17&gt;0,C17&lt;=Settings!$B$7),"Clear","Unchecked"))</f>
        <v>Unchecked</v>
      </c>
    </row>
    <row r="18" spans="1:11" ht="43.9" customHeight="1">
      <c r="A18" s="15" t="s">
        <v>108</v>
      </c>
      <c r="B18" s="16"/>
      <c r="C18" s="19"/>
      <c r="D18" s="16" t="s">
        <v>216</v>
      </c>
      <c r="E18" s="16" t="s">
        <v>216</v>
      </c>
      <c r="F18" s="16" t="s">
        <v>216</v>
      </c>
      <c r="G18" s="16" t="s">
        <v>216</v>
      </c>
      <c r="H18" s="16" t="s">
        <v>216</v>
      </c>
      <c r="I18" s="16" t="s">
        <v>216</v>
      </c>
      <c r="J18" s="16"/>
      <c r="K18" s="15" t="str">
        <f>IF(OR(COUNTIF(D18:I18,"No")&gt;0,LEN(TRIM(J18))&gt;0),"Blocked",IF(AND(COUNTIF(D18:I18,"Yes")=6,LEN(TRIM(B18))&gt;0,ISNUMBER(C18),C18&gt;0,C18&lt;=Settings!$B$7),"Clear","Unchecked"))</f>
        <v>Unchecked</v>
      </c>
    </row>
    <row r="19" spans="1:11" ht="43.9" customHeight="1">
      <c r="A19" s="15" t="s">
        <v>110</v>
      </c>
      <c r="B19" s="16"/>
      <c r="C19" s="19"/>
      <c r="D19" s="16" t="s">
        <v>216</v>
      </c>
      <c r="E19" s="16" t="s">
        <v>216</v>
      </c>
      <c r="F19" s="16" t="s">
        <v>216</v>
      </c>
      <c r="G19" s="16" t="s">
        <v>216</v>
      </c>
      <c r="H19" s="16" t="s">
        <v>216</v>
      </c>
      <c r="I19" s="16" t="s">
        <v>216</v>
      </c>
      <c r="J19" s="16"/>
      <c r="K19" s="15" t="str">
        <f>IF(OR(COUNTIF(D19:I19,"No")&gt;0,LEN(TRIM(J19))&gt;0),"Blocked",IF(AND(COUNTIF(D19:I19,"Yes")=6,LEN(TRIM(B19))&gt;0,ISNUMBER(C19),C19&gt;0,C19&lt;=Settings!$B$7),"Clear","Unchecked"))</f>
        <v>Unchecked</v>
      </c>
    </row>
    <row r="20" spans="1:11" ht="43.9" customHeight="1">
      <c r="A20" s="15" t="s">
        <v>111</v>
      </c>
      <c r="B20" s="16"/>
      <c r="C20" s="19"/>
      <c r="D20" s="16" t="s">
        <v>216</v>
      </c>
      <c r="E20" s="16" t="s">
        <v>216</v>
      </c>
      <c r="F20" s="16" t="s">
        <v>216</v>
      </c>
      <c r="G20" s="16" t="s">
        <v>216</v>
      </c>
      <c r="H20" s="16" t="s">
        <v>216</v>
      </c>
      <c r="I20" s="16" t="s">
        <v>216</v>
      </c>
      <c r="J20" s="16"/>
      <c r="K20" s="15" t="str">
        <f>IF(OR(COUNTIF(D20:I20,"No")&gt;0,LEN(TRIM(J20))&gt;0),"Blocked",IF(AND(COUNTIF(D20:I20,"Yes")=6,LEN(TRIM(B20))&gt;0,ISNUMBER(C20),C20&gt;0,C20&lt;=Settings!$B$7),"Clear","Unchecked"))</f>
        <v>Unchecked</v>
      </c>
    </row>
    <row r="21" spans="1:11" ht="43.9" customHeight="1">
      <c r="A21" s="15" t="s">
        <v>112</v>
      </c>
      <c r="B21" s="16"/>
      <c r="C21" s="19"/>
      <c r="D21" s="16" t="s">
        <v>216</v>
      </c>
      <c r="E21" s="16" t="s">
        <v>216</v>
      </c>
      <c r="F21" s="16" t="s">
        <v>216</v>
      </c>
      <c r="G21" s="16" t="s">
        <v>216</v>
      </c>
      <c r="H21" s="16" t="s">
        <v>216</v>
      </c>
      <c r="I21" s="16" t="s">
        <v>216</v>
      </c>
      <c r="J21" s="16"/>
      <c r="K21" s="15" t="str">
        <f>IF(OR(COUNTIF(D21:I21,"No")&gt;0,LEN(TRIM(J21))&gt;0),"Blocked",IF(AND(COUNTIF(D21:I21,"Yes")=6,LEN(TRIM(B21))&gt;0,ISNUMBER(C21),C21&gt;0,C21&lt;=Settings!$B$7),"Clear","Unchecked"))</f>
        <v>Unchecked</v>
      </c>
    </row>
    <row r="22" spans="1:11" ht="43.9" customHeight="1">
      <c r="A22" s="15" t="s">
        <v>113</v>
      </c>
      <c r="B22" s="16"/>
      <c r="C22" s="19"/>
      <c r="D22" s="16" t="s">
        <v>216</v>
      </c>
      <c r="E22" s="16" t="s">
        <v>216</v>
      </c>
      <c r="F22" s="16" t="s">
        <v>216</v>
      </c>
      <c r="G22" s="16" t="s">
        <v>216</v>
      </c>
      <c r="H22" s="16" t="s">
        <v>216</v>
      </c>
      <c r="I22" s="16" t="s">
        <v>216</v>
      </c>
      <c r="J22" s="16"/>
      <c r="K22" s="15" t="str">
        <f>IF(OR(COUNTIF(D22:I22,"No")&gt;0,LEN(TRIM(J22))&gt;0),"Blocked",IF(AND(COUNTIF(D22:I22,"Yes")=6,LEN(TRIM(B22))&gt;0,ISNUMBER(C22),C22&gt;0,C22&lt;=Settings!$B$7),"Clear","Unchecked"))</f>
        <v>Unchecked</v>
      </c>
    </row>
    <row r="23" spans="1:11" ht="43.9" customHeight="1">
      <c r="A23" s="15" t="s">
        <v>114</v>
      </c>
      <c r="B23" s="16"/>
      <c r="C23" s="19"/>
      <c r="D23" s="16" t="s">
        <v>216</v>
      </c>
      <c r="E23" s="16" t="s">
        <v>216</v>
      </c>
      <c r="F23" s="16" t="s">
        <v>216</v>
      </c>
      <c r="G23" s="16" t="s">
        <v>216</v>
      </c>
      <c r="H23" s="16" t="s">
        <v>216</v>
      </c>
      <c r="I23" s="16" t="s">
        <v>216</v>
      </c>
      <c r="J23" s="16"/>
      <c r="K23" s="15" t="str">
        <f>IF(OR(COUNTIF(D23:I23,"No")&gt;0,LEN(TRIM(J23))&gt;0),"Blocked",IF(AND(COUNTIF(D23:I23,"Yes")=6,LEN(TRIM(B23))&gt;0,ISNUMBER(C23),C23&gt;0,C23&lt;=Settings!$B$7),"Clear","Unchecked"))</f>
        <v>Unchecked</v>
      </c>
    </row>
    <row r="24" spans="1:11" ht="43.9" customHeight="1">
      <c r="A24" s="15" t="s">
        <v>115</v>
      </c>
      <c r="B24" s="16"/>
      <c r="C24" s="19"/>
      <c r="D24" s="16" t="s">
        <v>216</v>
      </c>
      <c r="E24" s="16" t="s">
        <v>216</v>
      </c>
      <c r="F24" s="16" t="s">
        <v>216</v>
      </c>
      <c r="G24" s="16" t="s">
        <v>216</v>
      </c>
      <c r="H24" s="16" t="s">
        <v>216</v>
      </c>
      <c r="I24" s="16" t="s">
        <v>216</v>
      </c>
      <c r="J24" s="16"/>
      <c r="K24" s="15" t="str">
        <f>IF(OR(COUNTIF(D24:I24,"No")&gt;0,LEN(TRIM(J24))&gt;0),"Blocked",IF(AND(COUNTIF(D24:I24,"Yes")=6,LEN(TRIM(B24))&gt;0,ISNUMBER(C24),C24&gt;0,C24&lt;=Settings!$B$7),"Clear","Unchecked"))</f>
        <v>Unchecked</v>
      </c>
    </row>
    <row r="25" spans="1:11" ht="43.9" customHeight="1">
      <c r="A25" s="15" t="s">
        <v>116</v>
      </c>
      <c r="B25" s="16"/>
      <c r="C25" s="19"/>
      <c r="D25" s="16" t="s">
        <v>216</v>
      </c>
      <c r="E25" s="16" t="s">
        <v>216</v>
      </c>
      <c r="F25" s="16" t="s">
        <v>216</v>
      </c>
      <c r="G25" s="16" t="s">
        <v>216</v>
      </c>
      <c r="H25" s="16" t="s">
        <v>216</v>
      </c>
      <c r="I25" s="16" t="s">
        <v>216</v>
      </c>
      <c r="J25" s="16"/>
      <c r="K25" s="15" t="str">
        <f>IF(OR(COUNTIF(D25:I25,"No")&gt;0,LEN(TRIM(J25))&gt;0),"Blocked",IF(AND(COUNTIF(D25:I25,"Yes")=6,LEN(TRIM(B25))&gt;0,ISNUMBER(C25),C25&gt;0,C25&lt;=Settings!$B$7),"Clear","Unchecked"))</f>
        <v>Unchecked</v>
      </c>
    </row>
    <row r="26" spans="1:11" ht="43.9" customHeight="1">
      <c r="A26" s="15" t="s">
        <v>117</v>
      </c>
      <c r="B26" s="16"/>
      <c r="C26" s="19"/>
      <c r="D26" s="16" t="s">
        <v>216</v>
      </c>
      <c r="E26" s="16" t="s">
        <v>216</v>
      </c>
      <c r="F26" s="16" t="s">
        <v>216</v>
      </c>
      <c r="G26" s="16" t="s">
        <v>216</v>
      </c>
      <c r="H26" s="16" t="s">
        <v>216</v>
      </c>
      <c r="I26" s="16" t="s">
        <v>216</v>
      </c>
      <c r="J26" s="16"/>
      <c r="K26" s="15" t="str">
        <f>IF(OR(COUNTIF(D26:I26,"No")&gt;0,LEN(TRIM(J26))&gt;0),"Blocked",IF(AND(COUNTIF(D26:I26,"Yes")=6,LEN(TRIM(B26))&gt;0,ISNUMBER(C26),C26&gt;0,C26&lt;=Settings!$B$7),"Clear","Unchecked"))</f>
        <v>Unchecked</v>
      </c>
    </row>
    <row r="27" spans="1:11" ht="43.9" customHeight="1">
      <c r="A27" s="15" t="s">
        <v>118</v>
      </c>
      <c r="B27" s="16"/>
      <c r="C27" s="19"/>
      <c r="D27" s="16" t="s">
        <v>216</v>
      </c>
      <c r="E27" s="16" t="s">
        <v>216</v>
      </c>
      <c r="F27" s="16" t="s">
        <v>216</v>
      </c>
      <c r="G27" s="16" t="s">
        <v>216</v>
      </c>
      <c r="H27" s="16" t="s">
        <v>216</v>
      </c>
      <c r="I27" s="16" t="s">
        <v>216</v>
      </c>
      <c r="J27" s="16"/>
      <c r="K27" s="15" t="str">
        <f>IF(OR(COUNTIF(D27:I27,"No")&gt;0,LEN(TRIM(J27))&gt;0),"Blocked",IF(AND(COUNTIF(D27:I27,"Yes")=6,LEN(TRIM(B27))&gt;0,ISNUMBER(C27),C27&gt;0,C27&lt;=Settings!$B$7),"Clear","Unchecked"))</f>
        <v>Unchecked</v>
      </c>
    </row>
    <row r="28" spans="1:11" ht="43.9" customHeight="1">
      <c r="A28" s="15" t="s">
        <v>119</v>
      </c>
      <c r="B28" s="16"/>
      <c r="C28" s="19"/>
      <c r="D28" s="16" t="s">
        <v>216</v>
      </c>
      <c r="E28" s="16" t="s">
        <v>216</v>
      </c>
      <c r="F28" s="16" t="s">
        <v>216</v>
      </c>
      <c r="G28" s="16" t="s">
        <v>216</v>
      </c>
      <c r="H28" s="16" t="s">
        <v>216</v>
      </c>
      <c r="I28" s="16" t="s">
        <v>216</v>
      </c>
      <c r="J28" s="16"/>
      <c r="K28" s="15" t="str">
        <f>IF(OR(COUNTIF(D28:I28,"No")&gt;0,LEN(TRIM(J28))&gt;0),"Blocked",IF(AND(COUNTIF(D28:I28,"Yes")=6,LEN(TRIM(B28))&gt;0,ISNUMBER(C28),C28&gt;0,C28&lt;=Settings!$B$7),"Clear","Unchecked"))</f>
        <v>Unchecked</v>
      </c>
    </row>
    <row r="29" spans="1:11" ht="43.9" customHeight="1">
      <c r="A29" s="15" t="s">
        <v>120</v>
      </c>
      <c r="B29" s="16"/>
      <c r="C29" s="19"/>
      <c r="D29" s="16" t="s">
        <v>216</v>
      </c>
      <c r="E29" s="16" t="s">
        <v>216</v>
      </c>
      <c r="F29" s="16" t="s">
        <v>216</v>
      </c>
      <c r="G29" s="16" t="s">
        <v>216</v>
      </c>
      <c r="H29" s="16" t="s">
        <v>216</v>
      </c>
      <c r="I29" s="16" t="s">
        <v>216</v>
      </c>
      <c r="J29" s="16"/>
      <c r="K29" s="15" t="str">
        <f>IF(OR(COUNTIF(D29:I29,"No")&gt;0,LEN(TRIM(J29))&gt;0),"Blocked",IF(AND(COUNTIF(D29:I29,"Yes")=6,LEN(TRIM(B29))&gt;0,ISNUMBER(C29),C29&gt;0,C29&lt;=Settings!$B$7),"Clear","Unchecked"))</f>
        <v>Unchecked</v>
      </c>
    </row>
    <row r="30" spans="1:11" ht="43.9" customHeight="1">
      <c r="A30" s="15" t="s">
        <v>121</v>
      </c>
      <c r="B30" s="16"/>
      <c r="C30" s="19"/>
      <c r="D30" s="16" t="s">
        <v>216</v>
      </c>
      <c r="E30" s="16" t="s">
        <v>216</v>
      </c>
      <c r="F30" s="16" t="s">
        <v>216</v>
      </c>
      <c r="G30" s="16" t="s">
        <v>216</v>
      </c>
      <c r="H30" s="16" t="s">
        <v>216</v>
      </c>
      <c r="I30" s="16" t="s">
        <v>216</v>
      </c>
      <c r="J30" s="16"/>
      <c r="K30" s="15" t="str">
        <f>IF(OR(COUNTIF(D30:I30,"No")&gt;0,LEN(TRIM(J30))&gt;0),"Blocked",IF(AND(COUNTIF(D30:I30,"Yes")=6,LEN(TRIM(B30))&gt;0,ISNUMBER(C30),C30&gt;0,C30&lt;=Settings!$B$7),"Clear","Unchecked"))</f>
        <v>Unchecked</v>
      </c>
    </row>
    <row r="31" spans="1:11" ht="43.9" customHeight="1">
      <c r="A31" s="15" t="s">
        <v>122</v>
      </c>
      <c r="B31" s="16"/>
      <c r="C31" s="19"/>
      <c r="D31" s="16" t="s">
        <v>216</v>
      </c>
      <c r="E31" s="16" t="s">
        <v>216</v>
      </c>
      <c r="F31" s="16" t="s">
        <v>216</v>
      </c>
      <c r="G31" s="16" t="s">
        <v>216</v>
      </c>
      <c r="H31" s="16" t="s">
        <v>216</v>
      </c>
      <c r="I31" s="16" t="s">
        <v>216</v>
      </c>
      <c r="J31" s="16"/>
      <c r="K31" s="15" t="str">
        <f>IF(OR(COUNTIF(D31:I31,"No")&gt;0,LEN(TRIM(J31))&gt;0),"Blocked",IF(AND(COUNTIF(D31:I31,"Yes")=6,LEN(TRIM(B31))&gt;0,ISNUMBER(C31),C31&gt;0,C31&lt;=Settings!$B$7),"Clear","Unchecked"))</f>
        <v>Unchecked</v>
      </c>
    </row>
    <row r="32" spans="1:11" ht="43.9" customHeight="1">
      <c r="A32" s="15" t="s">
        <v>123</v>
      </c>
      <c r="B32" s="16"/>
      <c r="C32" s="19"/>
      <c r="D32" s="16" t="s">
        <v>216</v>
      </c>
      <c r="E32" s="16" t="s">
        <v>216</v>
      </c>
      <c r="F32" s="16" t="s">
        <v>216</v>
      </c>
      <c r="G32" s="16" t="s">
        <v>216</v>
      </c>
      <c r="H32" s="16" t="s">
        <v>216</v>
      </c>
      <c r="I32" s="16" t="s">
        <v>216</v>
      </c>
      <c r="J32" s="16"/>
      <c r="K32" s="15" t="str">
        <f>IF(OR(COUNTIF(D32:I32,"No")&gt;0,LEN(TRIM(J32))&gt;0),"Blocked",IF(AND(COUNTIF(D32:I32,"Yes")=6,LEN(TRIM(B32))&gt;0,ISNUMBER(C32),C32&gt;0,C32&lt;=Settings!$B$7),"Clear","Unchecked"))</f>
        <v>Unchecked</v>
      </c>
    </row>
    <row r="33" spans="1:11" ht="43.9" customHeight="1">
      <c r="A33" s="15" t="s">
        <v>124</v>
      </c>
      <c r="B33" s="16"/>
      <c r="C33" s="19"/>
      <c r="D33" s="16" t="s">
        <v>216</v>
      </c>
      <c r="E33" s="16" t="s">
        <v>216</v>
      </c>
      <c r="F33" s="16" t="s">
        <v>216</v>
      </c>
      <c r="G33" s="16" t="s">
        <v>216</v>
      </c>
      <c r="H33" s="16" t="s">
        <v>216</v>
      </c>
      <c r="I33" s="16" t="s">
        <v>216</v>
      </c>
      <c r="J33" s="16"/>
      <c r="K33" s="15" t="str">
        <f>IF(OR(COUNTIF(D33:I33,"No")&gt;0,LEN(TRIM(J33))&gt;0),"Blocked",IF(AND(COUNTIF(D33:I33,"Yes")=6,LEN(TRIM(B33))&gt;0,ISNUMBER(C33),C33&gt;0,C33&lt;=Settings!$B$7),"Clear","Unchecked"))</f>
        <v>Unchecked</v>
      </c>
    </row>
    <row r="34" spans="1:11" ht="43.9" customHeight="1">
      <c r="A34" s="15" t="s">
        <v>125</v>
      </c>
      <c r="B34" s="16"/>
      <c r="C34" s="19"/>
      <c r="D34" s="16" t="s">
        <v>216</v>
      </c>
      <c r="E34" s="16" t="s">
        <v>216</v>
      </c>
      <c r="F34" s="16" t="s">
        <v>216</v>
      </c>
      <c r="G34" s="16" t="s">
        <v>216</v>
      </c>
      <c r="H34" s="16" t="s">
        <v>216</v>
      </c>
      <c r="I34" s="16" t="s">
        <v>216</v>
      </c>
      <c r="J34" s="16"/>
      <c r="K34" s="15" t="str">
        <f>IF(OR(COUNTIF(D34:I34,"No")&gt;0,LEN(TRIM(J34))&gt;0),"Blocked",IF(AND(COUNTIF(D34:I34,"Yes")=6,LEN(TRIM(B34))&gt;0,ISNUMBER(C34),C34&gt;0,C34&lt;=Settings!$B$7),"Clear","Unchecked"))</f>
        <v>Unchecked</v>
      </c>
    </row>
    <row r="35" spans="1:11" ht="43.9" customHeight="1">
      <c r="A35" s="15" t="s">
        <v>126</v>
      </c>
      <c r="B35" s="16"/>
      <c r="C35" s="19"/>
      <c r="D35" s="16" t="s">
        <v>216</v>
      </c>
      <c r="E35" s="16" t="s">
        <v>216</v>
      </c>
      <c r="F35" s="16" t="s">
        <v>216</v>
      </c>
      <c r="G35" s="16" t="s">
        <v>216</v>
      </c>
      <c r="H35" s="16" t="s">
        <v>216</v>
      </c>
      <c r="I35" s="16" t="s">
        <v>216</v>
      </c>
      <c r="J35" s="16"/>
      <c r="K35" s="15" t="str">
        <f>IF(OR(COUNTIF(D35:I35,"No")&gt;0,LEN(TRIM(J35))&gt;0),"Blocked",IF(AND(COUNTIF(D35:I35,"Yes")=6,LEN(TRIM(B35))&gt;0,ISNUMBER(C35),C35&gt;0,C35&lt;=Settings!$B$7),"Clear","Unchecked"))</f>
        <v>Unchecked</v>
      </c>
    </row>
    <row r="36" spans="1:11" ht="43.9" customHeight="1">
      <c r="A36" s="15" t="s">
        <v>127</v>
      </c>
      <c r="B36" s="16"/>
      <c r="C36" s="19"/>
      <c r="D36" s="16" t="s">
        <v>216</v>
      </c>
      <c r="E36" s="16" t="s">
        <v>216</v>
      </c>
      <c r="F36" s="16" t="s">
        <v>216</v>
      </c>
      <c r="G36" s="16" t="s">
        <v>216</v>
      </c>
      <c r="H36" s="16" t="s">
        <v>216</v>
      </c>
      <c r="I36" s="16" t="s">
        <v>216</v>
      </c>
      <c r="J36" s="16"/>
      <c r="K36" s="15" t="str">
        <f>IF(OR(COUNTIF(D36:I36,"No")&gt;0,LEN(TRIM(J36))&gt;0),"Blocked",IF(AND(COUNTIF(D36:I36,"Yes")=6,LEN(TRIM(B36))&gt;0,ISNUMBER(C36),C36&gt;0,C36&lt;=Settings!$B$7),"Clear","Unchecked"))</f>
        <v>Unchecked</v>
      </c>
    </row>
    <row r="37" spans="1:11" ht="43.9" customHeight="1">
      <c r="A37" s="15" t="s">
        <v>128</v>
      </c>
      <c r="B37" s="16"/>
      <c r="C37" s="19"/>
      <c r="D37" s="16" t="s">
        <v>216</v>
      </c>
      <c r="E37" s="16" t="s">
        <v>216</v>
      </c>
      <c r="F37" s="16" t="s">
        <v>216</v>
      </c>
      <c r="G37" s="16" t="s">
        <v>216</v>
      </c>
      <c r="H37" s="16" t="s">
        <v>216</v>
      </c>
      <c r="I37" s="16" t="s">
        <v>216</v>
      </c>
      <c r="J37" s="16"/>
      <c r="K37" s="15" t="str">
        <f>IF(OR(COUNTIF(D37:I37,"No")&gt;0,LEN(TRIM(J37))&gt;0),"Blocked",IF(AND(COUNTIF(D37:I37,"Yes")=6,LEN(TRIM(B37))&gt;0,ISNUMBER(C37),C37&gt;0,C37&lt;=Settings!$B$7),"Clear","Unchecked"))</f>
        <v>Unchecked</v>
      </c>
    </row>
    <row r="38" spans="1:11" ht="43.9" customHeight="1">
      <c r="A38" s="15" t="s">
        <v>129</v>
      </c>
      <c r="B38" s="16"/>
      <c r="C38" s="19"/>
      <c r="D38" s="16" t="s">
        <v>216</v>
      </c>
      <c r="E38" s="16" t="s">
        <v>216</v>
      </c>
      <c r="F38" s="16" t="s">
        <v>216</v>
      </c>
      <c r="G38" s="16" t="s">
        <v>216</v>
      </c>
      <c r="H38" s="16" t="s">
        <v>216</v>
      </c>
      <c r="I38" s="16" t="s">
        <v>216</v>
      </c>
      <c r="J38" s="16"/>
      <c r="K38" s="15" t="str">
        <f>IF(OR(COUNTIF(D38:I38,"No")&gt;0,LEN(TRIM(J38))&gt;0),"Blocked",IF(AND(COUNTIF(D38:I38,"Yes")=6,LEN(TRIM(B38))&gt;0,ISNUMBER(C38),C38&gt;0,C38&lt;=Settings!$B$7),"Clear","Unchecked"))</f>
        <v>Unchecked</v>
      </c>
    </row>
    <row r="39" spans="1:11" ht="43.9" customHeight="1">
      <c r="A39" s="15" t="s">
        <v>130</v>
      </c>
      <c r="B39" s="16"/>
      <c r="C39" s="19"/>
      <c r="D39" s="16" t="s">
        <v>216</v>
      </c>
      <c r="E39" s="16" t="s">
        <v>216</v>
      </c>
      <c r="F39" s="16" t="s">
        <v>216</v>
      </c>
      <c r="G39" s="16" t="s">
        <v>216</v>
      </c>
      <c r="H39" s="16" t="s">
        <v>216</v>
      </c>
      <c r="I39" s="16" t="s">
        <v>216</v>
      </c>
      <c r="J39" s="16"/>
      <c r="K39" s="15" t="str">
        <f>IF(OR(COUNTIF(D39:I39,"No")&gt;0,LEN(TRIM(J39))&gt;0),"Blocked",IF(AND(COUNTIF(D39:I39,"Yes")=6,LEN(TRIM(B39))&gt;0,ISNUMBER(C39),C39&gt;0,C39&lt;=Settings!$B$7),"Clear","Unchecked"))</f>
        <v>Unchecked</v>
      </c>
    </row>
    <row r="40" spans="1:11" ht="43.9" customHeight="1">
      <c r="A40" s="15" t="s">
        <v>131</v>
      </c>
      <c r="B40" s="16"/>
      <c r="C40" s="19"/>
      <c r="D40" s="16" t="s">
        <v>216</v>
      </c>
      <c r="E40" s="16" t="s">
        <v>216</v>
      </c>
      <c r="F40" s="16" t="s">
        <v>216</v>
      </c>
      <c r="G40" s="16" t="s">
        <v>216</v>
      </c>
      <c r="H40" s="16" t="s">
        <v>216</v>
      </c>
      <c r="I40" s="16" t="s">
        <v>216</v>
      </c>
      <c r="J40" s="16"/>
      <c r="K40" s="15" t="str">
        <f>IF(OR(COUNTIF(D40:I40,"No")&gt;0,LEN(TRIM(J40))&gt;0),"Blocked",IF(AND(COUNTIF(D40:I40,"Yes")=6,LEN(TRIM(B40))&gt;0,ISNUMBER(C40),C40&gt;0,C40&lt;=Settings!$B$7),"Clear","Unchecked"))</f>
        <v>Unchecked</v>
      </c>
    </row>
    <row r="41" spans="1:11" ht="43.9" customHeight="1">
      <c r="A41" s="15" t="s">
        <v>132</v>
      </c>
      <c r="B41" s="16"/>
      <c r="C41" s="19"/>
      <c r="D41" s="16" t="s">
        <v>216</v>
      </c>
      <c r="E41" s="16" t="s">
        <v>216</v>
      </c>
      <c r="F41" s="16" t="s">
        <v>216</v>
      </c>
      <c r="G41" s="16" t="s">
        <v>216</v>
      </c>
      <c r="H41" s="16" t="s">
        <v>216</v>
      </c>
      <c r="I41" s="16" t="s">
        <v>216</v>
      </c>
      <c r="J41" s="16"/>
      <c r="K41" s="15" t="str">
        <f>IF(OR(COUNTIF(D41:I41,"No")&gt;0,LEN(TRIM(J41))&gt;0),"Blocked",IF(AND(COUNTIF(D41:I41,"Yes")=6,LEN(TRIM(B41))&gt;0,ISNUMBER(C41),C41&gt;0,C41&lt;=Settings!$B$7),"Clear","Unchecked"))</f>
        <v>Unchecked</v>
      </c>
    </row>
    <row r="42" spans="1:11" ht="43.9" customHeight="1">
      <c r="A42" s="15" t="s">
        <v>133</v>
      </c>
      <c r="B42" s="16"/>
      <c r="C42" s="19"/>
      <c r="D42" s="16" t="s">
        <v>216</v>
      </c>
      <c r="E42" s="16" t="s">
        <v>216</v>
      </c>
      <c r="F42" s="16" t="s">
        <v>216</v>
      </c>
      <c r="G42" s="16" t="s">
        <v>216</v>
      </c>
      <c r="H42" s="16" t="s">
        <v>216</v>
      </c>
      <c r="I42" s="16" t="s">
        <v>216</v>
      </c>
      <c r="J42" s="16"/>
      <c r="K42" s="15" t="str">
        <f>IF(OR(COUNTIF(D42:I42,"No")&gt;0,LEN(TRIM(J42))&gt;0),"Blocked",IF(AND(COUNTIF(D42:I42,"Yes")=6,LEN(TRIM(B42))&gt;0,ISNUMBER(C42),C42&gt;0,C42&lt;=Settings!$B$7),"Clear","Unchecked"))</f>
        <v>Unchecked</v>
      </c>
    </row>
    <row r="43" spans="1:11" ht="43.9" customHeight="1">
      <c r="A43" s="15" t="s">
        <v>134</v>
      </c>
      <c r="B43" s="16"/>
      <c r="C43" s="19"/>
      <c r="D43" s="16" t="s">
        <v>216</v>
      </c>
      <c r="E43" s="16" t="s">
        <v>216</v>
      </c>
      <c r="F43" s="16" t="s">
        <v>216</v>
      </c>
      <c r="G43" s="16" t="s">
        <v>216</v>
      </c>
      <c r="H43" s="16" t="s">
        <v>216</v>
      </c>
      <c r="I43" s="16" t="s">
        <v>216</v>
      </c>
      <c r="J43" s="16"/>
      <c r="K43" s="15" t="str">
        <f>IF(OR(COUNTIF(D43:I43,"No")&gt;0,LEN(TRIM(J43))&gt;0),"Blocked",IF(AND(COUNTIF(D43:I43,"Yes")=6,LEN(TRIM(B43))&gt;0,ISNUMBER(C43),C43&gt;0,C43&lt;=Settings!$B$7),"Clear","Unchecked"))</f>
        <v>Unchecked</v>
      </c>
    </row>
    <row r="44" spans="1:11" ht="43.9" customHeight="1">
      <c r="A44" s="15" t="s">
        <v>135</v>
      </c>
      <c r="B44" s="16"/>
      <c r="C44" s="19"/>
      <c r="D44" s="16" t="s">
        <v>216</v>
      </c>
      <c r="E44" s="16" t="s">
        <v>216</v>
      </c>
      <c r="F44" s="16" t="s">
        <v>216</v>
      </c>
      <c r="G44" s="16" t="s">
        <v>216</v>
      </c>
      <c r="H44" s="16" t="s">
        <v>216</v>
      </c>
      <c r="I44" s="16" t="s">
        <v>216</v>
      </c>
      <c r="J44" s="16"/>
      <c r="K44" s="15" t="str">
        <f>IF(OR(COUNTIF(D44:I44,"No")&gt;0,LEN(TRIM(J44))&gt;0),"Blocked",IF(AND(COUNTIF(D44:I44,"Yes")=6,LEN(TRIM(B44))&gt;0,ISNUMBER(C44),C44&gt;0,C44&lt;=Settings!$B$7),"Clear","Unchecked"))</f>
        <v>Unchecked</v>
      </c>
    </row>
    <row r="45" spans="1:11" ht="43.9" customHeight="1">
      <c r="A45" s="15" t="s">
        <v>136</v>
      </c>
      <c r="B45" s="16"/>
      <c r="C45" s="19"/>
      <c r="D45" s="16" t="s">
        <v>216</v>
      </c>
      <c r="E45" s="16" t="s">
        <v>216</v>
      </c>
      <c r="F45" s="16" t="s">
        <v>216</v>
      </c>
      <c r="G45" s="16" t="s">
        <v>216</v>
      </c>
      <c r="H45" s="16" t="s">
        <v>216</v>
      </c>
      <c r="I45" s="16" t="s">
        <v>216</v>
      </c>
      <c r="J45" s="16"/>
      <c r="K45" s="15" t="str">
        <f>IF(OR(COUNTIF(D45:I45,"No")&gt;0,LEN(TRIM(J45))&gt;0),"Blocked",IF(AND(COUNTIF(D45:I45,"Yes")=6,LEN(TRIM(B45))&gt;0,ISNUMBER(C45),C45&gt;0,C45&lt;=Settings!$B$7),"Clear","Unchecked"))</f>
        <v>Unchecked</v>
      </c>
    </row>
    <row r="46" spans="1:11" ht="43.9" customHeight="1">
      <c r="A46" s="15" t="s">
        <v>137</v>
      </c>
      <c r="B46" s="16"/>
      <c r="C46" s="19"/>
      <c r="D46" s="16" t="s">
        <v>216</v>
      </c>
      <c r="E46" s="16" t="s">
        <v>216</v>
      </c>
      <c r="F46" s="16" t="s">
        <v>216</v>
      </c>
      <c r="G46" s="16" t="s">
        <v>216</v>
      </c>
      <c r="H46" s="16" t="s">
        <v>216</v>
      </c>
      <c r="I46" s="16" t="s">
        <v>216</v>
      </c>
      <c r="J46" s="16"/>
      <c r="K46" s="15" t="str">
        <f>IF(OR(COUNTIF(D46:I46,"No")&gt;0,LEN(TRIM(J46))&gt;0),"Blocked",IF(AND(COUNTIF(D46:I46,"Yes")=6,LEN(TRIM(B46))&gt;0,ISNUMBER(C46),C46&gt;0,C46&lt;=Settings!$B$7),"Clear","Unchecked"))</f>
        <v>Unchecked</v>
      </c>
    </row>
    <row r="47" spans="1:11" ht="43.9" customHeight="1">
      <c r="A47" s="15" t="s">
        <v>138</v>
      </c>
      <c r="B47" s="16"/>
      <c r="C47" s="19"/>
      <c r="D47" s="16" t="s">
        <v>216</v>
      </c>
      <c r="E47" s="16" t="s">
        <v>216</v>
      </c>
      <c r="F47" s="16" t="s">
        <v>216</v>
      </c>
      <c r="G47" s="16" t="s">
        <v>216</v>
      </c>
      <c r="H47" s="16" t="s">
        <v>216</v>
      </c>
      <c r="I47" s="16" t="s">
        <v>216</v>
      </c>
      <c r="J47" s="16"/>
      <c r="K47" s="15" t="str">
        <f>IF(OR(COUNTIF(D47:I47,"No")&gt;0,LEN(TRIM(J47))&gt;0),"Blocked",IF(AND(COUNTIF(D47:I47,"Yes")=6,LEN(TRIM(B47))&gt;0,ISNUMBER(C47),C47&gt;0,C47&lt;=Settings!$B$7),"Clear","Unchecked"))</f>
        <v>Unchecked</v>
      </c>
    </row>
    <row r="48" spans="1:11" ht="43.9" customHeight="1">
      <c r="A48" s="15" t="s">
        <v>139</v>
      </c>
      <c r="B48" s="16"/>
      <c r="C48" s="19"/>
      <c r="D48" s="16" t="s">
        <v>216</v>
      </c>
      <c r="E48" s="16" t="s">
        <v>216</v>
      </c>
      <c r="F48" s="16" t="s">
        <v>216</v>
      </c>
      <c r="G48" s="16" t="s">
        <v>216</v>
      </c>
      <c r="H48" s="16" t="s">
        <v>216</v>
      </c>
      <c r="I48" s="16" t="s">
        <v>216</v>
      </c>
      <c r="J48" s="16"/>
      <c r="K48" s="15" t="str">
        <f>IF(OR(COUNTIF(D48:I48,"No")&gt;0,LEN(TRIM(J48))&gt;0),"Blocked",IF(AND(COUNTIF(D48:I48,"Yes")=6,LEN(TRIM(B48))&gt;0,ISNUMBER(C48),C48&gt;0,C48&lt;=Settings!$B$7),"Clear","Unchecked"))</f>
        <v>Unchecked</v>
      </c>
    </row>
    <row r="49" spans="1:11" ht="43.9" customHeight="1">
      <c r="A49" s="15" t="s">
        <v>140</v>
      </c>
      <c r="B49" s="16"/>
      <c r="C49" s="19"/>
      <c r="D49" s="16" t="s">
        <v>216</v>
      </c>
      <c r="E49" s="16" t="s">
        <v>216</v>
      </c>
      <c r="F49" s="16" t="s">
        <v>216</v>
      </c>
      <c r="G49" s="16" t="s">
        <v>216</v>
      </c>
      <c r="H49" s="16" t="s">
        <v>216</v>
      </c>
      <c r="I49" s="16" t="s">
        <v>216</v>
      </c>
      <c r="J49" s="16"/>
      <c r="K49" s="15" t="str">
        <f>IF(OR(COUNTIF(D49:I49,"No")&gt;0,LEN(TRIM(J49))&gt;0),"Blocked",IF(AND(COUNTIF(D49:I49,"Yes")=6,LEN(TRIM(B49))&gt;0,ISNUMBER(C49),C49&gt;0,C49&lt;=Settings!$B$7),"Clear","Unchecked"))</f>
        <v>Unchecked</v>
      </c>
    </row>
    <row r="50" spans="1:11" ht="43.9" customHeight="1">
      <c r="A50" s="15" t="s">
        <v>141</v>
      </c>
      <c r="B50" s="16"/>
      <c r="C50" s="19"/>
      <c r="D50" s="16" t="s">
        <v>216</v>
      </c>
      <c r="E50" s="16" t="s">
        <v>216</v>
      </c>
      <c r="F50" s="16" t="s">
        <v>216</v>
      </c>
      <c r="G50" s="16" t="s">
        <v>216</v>
      </c>
      <c r="H50" s="16" t="s">
        <v>216</v>
      </c>
      <c r="I50" s="16" t="s">
        <v>216</v>
      </c>
      <c r="J50" s="16"/>
      <c r="K50" s="15" t="str">
        <f>IF(OR(COUNTIF(D50:I50,"No")&gt;0,LEN(TRIM(J50))&gt;0),"Blocked",IF(AND(COUNTIF(D50:I50,"Yes")=6,LEN(TRIM(B50))&gt;0,ISNUMBER(C50),C50&gt;0,C50&lt;=Settings!$B$7),"Clear","Unchecked"))</f>
        <v>Unchecked</v>
      </c>
    </row>
    <row r="51" spans="1:11" ht="43.9" customHeight="1">
      <c r="A51" s="15" t="s">
        <v>142</v>
      </c>
      <c r="B51" s="16"/>
      <c r="C51" s="19"/>
      <c r="D51" s="16" t="s">
        <v>216</v>
      </c>
      <c r="E51" s="16" t="s">
        <v>216</v>
      </c>
      <c r="F51" s="16" t="s">
        <v>216</v>
      </c>
      <c r="G51" s="16" t="s">
        <v>216</v>
      </c>
      <c r="H51" s="16" t="s">
        <v>216</v>
      </c>
      <c r="I51" s="16" t="s">
        <v>216</v>
      </c>
      <c r="J51" s="16"/>
      <c r="K51" s="15" t="str">
        <f>IF(OR(COUNTIF(D51:I51,"No")&gt;0,LEN(TRIM(J51))&gt;0),"Blocked",IF(AND(COUNTIF(D51:I51,"Yes")=6,LEN(TRIM(B51))&gt;0,ISNUMBER(C51),C51&gt;0,C51&lt;=Settings!$B$7),"Clear","Unchecked"))</f>
        <v>Unchecked</v>
      </c>
    </row>
    <row r="52" spans="1:11" ht="43.9" customHeight="1">
      <c r="A52" s="15" t="s">
        <v>143</v>
      </c>
      <c r="B52" s="16"/>
      <c r="C52" s="19"/>
      <c r="D52" s="16" t="s">
        <v>216</v>
      </c>
      <c r="E52" s="16" t="s">
        <v>216</v>
      </c>
      <c r="F52" s="16" t="s">
        <v>216</v>
      </c>
      <c r="G52" s="16" t="s">
        <v>216</v>
      </c>
      <c r="H52" s="16" t="s">
        <v>216</v>
      </c>
      <c r="I52" s="16" t="s">
        <v>216</v>
      </c>
      <c r="J52" s="16"/>
      <c r="K52" s="15" t="str">
        <f>IF(OR(COUNTIF(D52:I52,"No")&gt;0,LEN(TRIM(J52))&gt;0),"Blocked",IF(AND(COUNTIF(D52:I52,"Yes")=6,LEN(TRIM(B52))&gt;0,ISNUMBER(C52),C52&gt;0,C52&lt;=Settings!$B$7),"Clear","Unchecked"))</f>
        <v>Unchecked</v>
      </c>
    </row>
    <row r="53" spans="1:11" ht="43.9" customHeight="1">
      <c r="A53" s="15" t="s">
        <v>144</v>
      </c>
      <c r="B53" s="16"/>
      <c r="C53" s="19"/>
      <c r="D53" s="16" t="s">
        <v>216</v>
      </c>
      <c r="E53" s="16" t="s">
        <v>216</v>
      </c>
      <c r="F53" s="16" t="s">
        <v>216</v>
      </c>
      <c r="G53" s="16" t="s">
        <v>216</v>
      </c>
      <c r="H53" s="16" t="s">
        <v>216</v>
      </c>
      <c r="I53" s="16" t="s">
        <v>216</v>
      </c>
      <c r="J53" s="16"/>
      <c r="K53" s="15" t="str">
        <f>IF(OR(COUNTIF(D53:I53,"No")&gt;0,LEN(TRIM(J53))&gt;0),"Blocked",IF(AND(COUNTIF(D53:I53,"Yes")=6,LEN(TRIM(B53))&gt;0,ISNUMBER(C53),C53&gt;0,C53&lt;=Settings!$B$7),"Clear","Unchecked"))</f>
        <v>Unchecked</v>
      </c>
    </row>
    <row r="54" spans="1:11" ht="43.9" customHeight="1">
      <c r="A54" s="15" t="s">
        <v>145</v>
      </c>
      <c r="B54" s="16"/>
      <c r="C54" s="19"/>
      <c r="D54" s="16" t="s">
        <v>216</v>
      </c>
      <c r="E54" s="16" t="s">
        <v>216</v>
      </c>
      <c r="F54" s="16" t="s">
        <v>216</v>
      </c>
      <c r="G54" s="16" t="s">
        <v>216</v>
      </c>
      <c r="H54" s="16" t="s">
        <v>216</v>
      </c>
      <c r="I54" s="16" t="s">
        <v>216</v>
      </c>
      <c r="J54" s="16"/>
      <c r="K54" s="15" t="str">
        <f>IF(OR(COUNTIF(D54:I54,"No")&gt;0,LEN(TRIM(J54))&gt;0),"Blocked",IF(AND(COUNTIF(D54:I54,"Yes")=6,LEN(TRIM(B54))&gt;0,ISNUMBER(C54),C54&gt;0,C54&lt;=Settings!$B$7),"Clear","Unchecked"))</f>
        <v>Unchecked</v>
      </c>
    </row>
    <row r="55" spans="1:11" ht="43.9" customHeight="1">
      <c r="A55" s="15" t="s">
        <v>146</v>
      </c>
      <c r="B55" s="16"/>
      <c r="C55" s="19"/>
      <c r="D55" s="16" t="s">
        <v>216</v>
      </c>
      <c r="E55" s="16" t="s">
        <v>216</v>
      </c>
      <c r="F55" s="16" t="s">
        <v>216</v>
      </c>
      <c r="G55" s="16" t="s">
        <v>216</v>
      </c>
      <c r="H55" s="16" t="s">
        <v>216</v>
      </c>
      <c r="I55" s="16" t="s">
        <v>216</v>
      </c>
      <c r="J55" s="16"/>
      <c r="K55" s="15" t="str">
        <f>IF(OR(COUNTIF(D55:I55,"No")&gt;0,LEN(TRIM(J55))&gt;0),"Blocked",IF(AND(COUNTIF(D55:I55,"Yes")=6,LEN(TRIM(B55))&gt;0,ISNUMBER(C55),C55&gt;0,C55&lt;=Settings!$B$7),"Clear","Unchecked"))</f>
        <v>Unchecked</v>
      </c>
    </row>
    <row r="56" spans="1:11" ht="43.9" customHeight="1">
      <c r="A56" s="15" t="s">
        <v>147</v>
      </c>
      <c r="B56" s="16"/>
      <c r="C56" s="19"/>
      <c r="D56" s="16" t="s">
        <v>216</v>
      </c>
      <c r="E56" s="16" t="s">
        <v>216</v>
      </c>
      <c r="F56" s="16" t="s">
        <v>216</v>
      </c>
      <c r="G56" s="16" t="s">
        <v>216</v>
      </c>
      <c r="H56" s="16" t="s">
        <v>216</v>
      </c>
      <c r="I56" s="16" t="s">
        <v>216</v>
      </c>
      <c r="J56" s="16"/>
      <c r="K56" s="15" t="str">
        <f>IF(OR(COUNTIF(D56:I56,"No")&gt;0,LEN(TRIM(J56))&gt;0),"Blocked",IF(AND(COUNTIF(D56:I56,"Yes")=6,LEN(TRIM(B56))&gt;0,ISNUMBER(C56),C56&gt;0,C56&lt;=Settings!$B$7),"Clear","Unchecked"))</f>
        <v>Unchecked</v>
      </c>
    </row>
    <row r="57" spans="1:11" ht="22.9" customHeight="1">
      <c r="A57" s="1"/>
      <c r="B57" s="1"/>
      <c r="C57" s="1"/>
      <c r="D57" s="1"/>
      <c r="E57" s="1"/>
      <c r="F57" s="1"/>
      <c r="G57" s="1"/>
      <c r="H57" s="1"/>
      <c r="I57" s="1"/>
      <c r="J57" s="1"/>
      <c r="K57" s="1"/>
    </row>
    <row r="58" spans="1:11" ht="22.9" customHeight="1">
      <c r="A58" s="1"/>
      <c r="B58" s="1"/>
      <c r="C58" s="1"/>
      <c r="D58" s="1"/>
      <c r="E58" s="1"/>
      <c r="F58" s="1"/>
      <c r="G58" s="1"/>
      <c r="H58" s="1"/>
      <c r="I58" s="1"/>
      <c r="J58" s="1"/>
      <c r="K58" s="1"/>
    </row>
    <row r="59" spans="1:11" ht="22.9" customHeight="1">
      <c r="A59" s="1"/>
      <c r="B59" s="1"/>
      <c r="C59" s="1"/>
      <c r="D59" s="1"/>
      <c r="E59" s="1"/>
      <c r="F59" s="1"/>
      <c r="G59" s="1"/>
      <c r="H59" s="1"/>
      <c r="I59" s="1"/>
      <c r="J59" s="1"/>
      <c r="K59" s="1"/>
    </row>
    <row r="60" spans="1:11" ht="22.9" customHeight="1">
      <c r="A60" s="1"/>
      <c r="B60" s="1"/>
      <c r="C60" s="1"/>
      <c r="D60" s="1"/>
      <c r="E60" s="1"/>
      <c r="F60" s="1"/>
      <c r="G60" s="1"/>
      <c r="H60" s="1"/>
      <c r="I60" s="1"/>
      <c r="J60" s="1"/>
      <c r="K60" s="1"/>
    </row>
    <row r="61" spans="1:11" ht="22.9" customHeight="1">
      <c r="A61" s="1"/>
      <c r="B61" s="1"/>
      <c r="C61" s="1"/>
      <c r="D61" s="1"/>
      <c r="E61" s="1"/>
      <c r="F61" s="1"/>
      <c r="G61" s="1"/>
      <c r="H61" s="1"/>
      <c r="I61" s="1"/>
      <c r="J61" s="1"/>
      <c r="K61" s="1"/>
    </row>
    <row r="62" spans="1:11" ht="22.9" customHeight="1">
      <c r="A62" s="1"/>
      <c r="B62" s="1"/>
      <c r="C62" s="1"/>
      <c r="D62" s="1"/>
      <c r="E62" s="1"/>
      <c r="F62" s="1"/>
      <c r="G62" s="1"/>
      <c r="H62" s="1"/>
      <c r="I62" s="1"/>
      <c r="J62" s="1"/>
      <c r="K62" s="1"/>
    </row>
    <row r="63" spans="1:11" ht="22.9" customHeight="1">
      <c r="A63" s="1"/>
      <c r="B63" s="1"/>
      <c r="C63" s="1"/>
      <c r="D63" s="1"/>
      <c r="E63" s="1"/>
      <c r="F63" s="1"/>
      <c r="G63" s="1"/>
      <c r="H63" s="1"/>
      <c r="I63" s="1"/>
      <c r="J63" s="1"/>
      <c r="K63" s="1"/>
    </row>
    <row r="64" spans="1:11" ht="22.9" customHeight="1">
      <c r="A64" s="1"/>
      <c r="B64" s="1"/>
      <c r="C64" s="1"/>
      <c r="D64" s="1"/>
      <c r="E64" s="1"/>
      <c r="F64" s="1"/>
      <c r="G64" s="1"/>
      <c r="H64" s="1"/>
      <c r="I64" s="1"/>
      <c r="J64" s="1"/>
      <c r="K64" s="1"/>
    </row>
    <row r="65" spans="1:11" ht="22.9" customHeight="1">
      <c r="A65" s="1"/>
      <c r="B65" s="1"/>
      <c r="C65" s="1"/>
      <c r="D65" s="1"/>
      <c r="E65" s="1"/>
      <c r="F65" s="1"/>
      <c r="G65" s="1"/>
      <c r="H65" s="1"/>
      <c r="I65" s="1"/>
      <c r="J65" s="1"/>
      <c r="K65" s="1"/>
    </row>
    <row r="66" spans="1:11" ht="22.9" customHeight="1">
      <c r="A66" s="1"/>
      <c r="B66" s="1"/>
      <c r="C66" s="1"/>
      <c r="D66" s="1"/>
      <c r="E66" s="1"/>
      <c r="F66" s="1"/>
      <c r="G66" s="1"/>
      <c r="H66" s="1"/>
      <c r="I66" s="1"/>
      <c r="J66" s="1"/>
      <c r="K66" s="1"/>
    </row>
    <row r="67" spans="1:11" ht="22.9" customHeight="1">
      <c r="A67" s="1"/>
      <c r="B67" s="1"/>
      <c r="C67" s="1"/>
      <c r="D67" s="1"/>
      <c r="E67" s="1"/>
      <c r="F67" s="1"/>
      <c r="G67" s="1"/>
      <c r="H67" s="1"/>
      <c r="I67" s="1"/>
      <c r="J67" s="1"/>
      <c r="K67" s="1"/>
    </row>
    <row r="68" spans="1:11" ht="22.9" customHeight="1">
      <c r="A68" s="1"/>
      <c r="B68" s="1"/>
      <c r="C68" s="1"/>
      <c r="D68" s="1"/>
      <c r="E68" s="1"/>
      <c r="F68" s="1"/>
      <c r="G68" s="1"/>
      <c r="H68" s="1"/>
      <c r="I68" s="1"/>
      <c r="J68" s="1"/>
      <c r="K68" s="1"/>
    </row>
    <row r="69" spans="1:11" ht="22.9" customHeight="1">
      <c r="A69" s="1"/>
      <c r="B69" s="1"/>
      <c r="C69" s="1"/>
      <c r="D69" s="1"/>
      <c r="E69" s="1"/>
      <c r="F69" s="1"/>
      <c r="G69" s="1"/>
      <c r="H69" s="1"/>
      <c r="I69" s="1"/>
      <c r="J69" s="1"/>
      <c r="K69" s="1"/>
    </row>
    <row r="70" spans="1:11" ht="22.9" customHeight="1">
      <c r="A70" s="1"/>
      <c r="B70" s="1"/>
      <c r="C70" s="1"/>
      <c r="D70" s="1"/>
      <c r="E70" s="1"/>
      <c r="F70" s="1"/>
      <c r="G70" s="1"/>
      <c r="H70" s="1"/>
      <c r="I70" s="1"/>
      <c r="J70" s="1"/>
      <c r="K70" s="1"/>
    </row>
    <row r="71" spans="1:11" ht="22.9" customHeight="1">
      <c r="A71" s="1"/>
      <c r="B71" s="1"/>
      <c r="C71" s="1"/>
      <c r="D71" s="1"/>
      <c r="E71" s="1"/>
      <c r="F71" s="1"/>
      <c r="G71" s="1"/>
      <c r="H71" s="1"/>
      <c r="I71" s="1"/>
      <c r="J71" s="1"/>
      <c r="K71" s="1"/>
    </row>
    <row r="72" spans="1:11" ht="22.9" customHeight="1">
      <c r="A72" s="1"/>
      <c r="B72" s="1"/>
      <c r="C72" s="1"/>
      <c r="D72" s="1"/>
      <c r="E72" s="1"/>
      <c r="F72" s="1"/>
      <c r="G72" s="1"/>
      <c r="H72" s="1"/>
      <c r="I72" s="1"/>
      <c r="J72" s="1"/>
      <c r="K72" s="1"/>
    </row>
    <row r="73" spans="1:11" ht="22.9" customHeight="1">
      <c r="A73" s="1"/>
      <c r="B73" s="1"/>
      <c r="C73" s="1"/>
      <c r="D73" s="1"/>
      <c r="E73" s="1"/>
      <c r="F73" s="1"/>
      <c r="G73" s="1"/>
      <c r="H73" s="1"/>
      <c r="I73" s="1"/>
      <c r="J73" s="1"/>
      <c r="K73" s="1"/>
    </row>
    <row r="74" spans="1:11" ht="22.9" customHeight="1">
      <c r="A74" s="1"/>
      <c r="B74" s="1"/>
      <c r="C74" s="1"/>
      <c r="D74" s="1"/>
      <c r="E74" s="1"/>
      <c r="F74" s="1"/>
      <c r="G74" s="1"/>
      <c r="H74" s="1"/>
      <c r="I74" s="1"/>
      <c r="J74" s="1"/>
      <c r="K74" s="1"/>
    </row>
    <row r="75" spans="1:11" ht="22.9" customHeight="1">
      <c r="A75" s="1"/>
      <c r="B75" s="1"/>
      <c r="C75" s="1"/>
      <c r="D75" s="1"/>
      <c r="E75" s="1"/>
      <c r="F75" s="1"/>
      <c r="G75" s="1"/>
      <c r="H75" s="1"/>
      <c r="I75" s="1"/>
      <c r="J75" s="1"/>
      <c r="K75" s="1"/>
    </row>
    <row r="76" spans="1:11" ht="22.9" customHeight="1">
      <c r="A76" s="1"/>
      <c r="B76" s="1"/>
      <c r="C76" s="1"/>
      <c r="D76" s="1"/>
      <c r="E76" s="1"/>
      <c r="F76" s="1"/>
      <c r="G76" s="1"/>
      <c r="H76" s="1"/>
      <c r="I76" s="1"/>
      <c r="J76" s="1"/>
      <c r="K76" s="1"/>
    </row>
    <row r="77" spans="1:11" ht="22.9" customHeight="1">
      <c r="A77" s="1"/>
      <c r="B77" s="1"/>
      <c r="C77" s="1"/>
      <c r="D77" s="1"/>
      <c r="E77" s="1"/>
      <c r="F77" s="1"/>
      <c r="G77" s="1"/>
      <c r="H77" s="1"/>
      <c r="I77" s="1"/>
      <c r="J77" s="1"/>
      <c r="K77" s="1"/>
    </row>
    <row r="78" spans="1:11" ht="22.9" customHeight="1">
      <c r="A78" s="1"/>
      <c r="B78" s="1"/>
      <c r="C78" s="1"/>
      <c r="D78" s="1"/>
      <c r="E78" s="1"/>
      <c r="F78" s="1"/>
      <c r="G78" s="1"/>
      <c r="H78" s="1"/>
      <c r="I78" s="1"/>
      <c r="J78" s="1"/>
      <c r="K78" s="1"/>
    </row>
    <row r="79" spans="1:11" ht="22.9" customHeight="1">
      <c r="A79" s="1"/>
      <c r="B79" s="1"/>
      <c r="C79" s="1"/>
      <c r="D79" s="1"/>
      <c r="E79" s="1"/>
      <c r="F79" s="1"/>
      <c r="G79" s="1"/>
      <c r="H79" s="1"/>
      <c r="I79" s="1"/>
      <c r="J79" s="1"/>
      <c r="K79" s="1"/>
    </row>
    <row r="80" spans="1:11" ht="22.9" customHeight="1">
      <c r="A80" s="1"/>
      <c r="B80" s="1"/>
      <c r="C80" s="1"/>
      <c r="D80" s="1"/>
      <c r="E80" s="1"/>
      <c r="F80" s="1"/>
      <c r="G80" s="1"/>
      <c r="H80" s="1"/>
      <c r="I80" s="1"/>
      <c r="J80" s="1"/>
      <c r="K80" s="1"/>
    </row>
  </sheetData>
  <mergeCells count="2">
    <mergeCell ref="A1:K2"/>
    <mergeCell ref="A3:K4"/>
  </mergeCells>
  <conditionalFormatting sqref="K7:K56">
    <cfRule type="expression" dxfId="4" priority="1">
      <formula>OR(K7="Ready",K7="Clear")</formula>
    </cfRule>
    <cfRule type="expression" dxfId="3" priority="2">
      <formula>K7="Blocked"</formula>
    </cfRule>
  </conditionalFormatting>
  <dataValidations count="2">
    <dataValidation type="list" allowBlank="1" showInputMessage="1" showErrorMessage="1" errorTitle="Choose a listed value" error="Use the dropdown. Blank means not yet known; it is not approval." promptTitle="Challenge check" prompt="Yes = checked and satisfactory. No = unresolved blocker. Unchecked never grants eligibility." sqref="D7:I56" xr:uid="{00000000-0002-0000-0600-000000000000}">
      <formula1>"Unchecked,Yes,No"</formula1>
    </dataValidation>
    <dataValidation type="date" allowBlank="1" showInputMessage="1" showErrorMessage="1" errorTitle="Enter a date" error="Use a date between 2000 and 2100." promptTitle="Required date" prompt="Use a real date. Future dates do not contribute before the planning as-of date." sqref="C7:C56" xr:uid="{00000000-0002-0000-0600-000001000000}">
      <formula1>36526</formula1>
      <formula2>73050</formula2>
    </dataValidation>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2" width="24" customWidth="1"/>
    <col min="3" max="4" width="15" customWidth="1"/>
    <col min="5" max="6" width="19" customWidth="1"/>
    <col min="7" max="7" width="21" customWidth="1"/>
    <col min="8" max="8" width="24" customWidth="1"/>
    <col min="9" max="9" width="36" customWidth="1"/>
    <col min="10" max="10" width="20" customWidth="1"/>
    <col min="11" max="11" width="16" customWidth="1"/>
    <col min="12" max="12" width="38" customWidth="1"/>
    <col min="13" max="13" width="27" customWidth="1"/>
  </cols>
  <sheetData>
    <row r="1" spans="1:13" ht="24" customHeight="1">
      <c r="A1" s="31" t="s">
        <v>217</v>
      </c>
      <c r="B1" s="31"/>
      <c r="C1" s="31"/>
      <c r="D1" s="31"/>
      <c r="E1" s="31"/>
      <c r="F1" s="31"/>
      <c r="G1" s="31"/>
      <c r="H1" s="31"/>
      <c r="I1" s="31"/>
      <c r="J1" s="31"/>
      <c r="K1" s="31"/>
      <c r="L1" s="31"/>
      <c r="M1" s="31"/>
    </row>
    <row r="2" spans="1:13" ht="24" customHeight="1">
      <c r="A2" s="31"/>
      <c r="B2" s="31"/>
      <c r="C2" s="31"/>
      <c r="D2" s="31"/>
      <c r="E2" s="31"/>
      <c r="F2" s="31"/>
      <c r="G2" s="31"/>
      <c r="H2" s="31"/>
      <c r="I2" s="31"/>
      <c r="J2" s="31"/>
      <c r="K2" s="31"/>
      <c r="L2" s="31"/>
      <c r="M2" s="31"/>
    </row>
    <row r="3" spans="1:13" ht="22.15" customHeight="1">
      <c r="A3" s="32" t="s">
        <v>218</v>
      </c>
      <c r="B3" s="32"/>
      <c r="C3" s="32"/>
      <c r="D3" s="32"/>
      <c r="E3" s="32"/>
      <c r="F3" s="32"/>
      <c r="G3" s="32"/>
      <c r="H3" s="32"/>
      <c r="I3" s="32"/>
      <c r="J3" s="32"/>
      <c r="K3" s="32"/>
      <c r="L3" s="32"/>
      <c r="M3" s="32"/>
    </row>
    <row r="4" spans="1:13" ht="22.15" customHeight="1">
      <c r="A4" s="32"/>
      <c r="B4" s="32"/>
      <c r="C4" s="32"/>
      <c r="D4" s="32"/>
      <c r="E4" s="32"/>
      <c r="F4" s="32"/>
      <c r="G4" s="32"/>
      <c r="H4" s="32"/>
      <c r="I4" s="32"/>
      <c r="J4" s="32"/>
      <c r="K4" s="32"/>
      <c r="L4" s="32"/>
      <c r="M4" s="32"/>
    </row>
    <row r="5" spans="1:13" ht="22.9" customHeight="1">
      <c r="A5" s="4" t="str">
        <f>IFERROR(HYPERLINK("#'Start'!A1","← Start"),"← Start")</f>
        <v>← Start</v>
      </c>
      <c r="B5" s="1"/>
      <c r="C5" s="1"/>
      <c r="D5" s="1"/>
      <c r="E5" s="1"/>
      <c r="F5" s="1"/>
      <c r="G5" s="1"/>
      <c r="H5" s="1"/>
      <c r="I5" s="1"/>
      <c r="J5" s="1"/>
      <c r="K5" s="1"/>
      <c r="L5" s="1"/>
      <c r="M5" s="1"/>
    </row>
    <row r="6" spans="1:13" ht="43.15" customHeight="1">
      <c r="A6" s="11" t="s">
        <v>62</v>
      </c>
      <c r="B6" s="11" t="s">
        <v>219</v>
      </c>
      <c r="C6" s="11" t="s">
        <v>220</v>
      </c>
      <c r="D6" s="11" t="s">
        <v>221</v>
      </c>
      <c r="E6" s="11" t="s">
        <v>222</v>
      </c>
      <c r="F6" s="11" t="s">
        <v>223</v>
      </c>
      <c r="G6" s="11" t="s">
        <v>224</v>
      </c>
      <c r="H6" s="11" t="s">
        <v>225</v>
      </c>
      <c r="I6" s="11" t="s">
        <v>226</v>
      </c>
      <c r="J6" s="11" t="s">
        <v>227</v>
      </c>
      <c r="K6" s="11" t="s">
        <v>228</v>
      </c>
      <c r="L6" s="11" t="s">
        <v>229</v>
      </c>
      <c r="M6" s="11" t="s">
        <v>56</v>
      </c>
    </row>
    <row r="7" spans="1:13" ht="43.9" customHeight="1">
      <c r="A7" s="15" t="s">
        <v>33</v>
      </c>
      <c r="B7" s="16"/>
      <c r="C7" s="19"/>
      <c r="D7" s="19"/>
      <c r="E7" s="17"/>
      <c r="F7" s="17"/>
      <c r="G7" s="18"/>
      <c r="H7" s="18"/>
      <c r="I7" s="16"/>
      <c r="J7" s="16"/>
      <c r="K7" s="19"/>
      <c r="L7" s="16"/>
      <c r="M7" s="15" t="str">
        <f>IF(AND(OR(B7="Full-year actual",B7="Annualized measurement"),COUNT(C7:H7)=6,C7&gt;0,D7&gt;=C7,D7&lt;=Settings!$B$7,OR(B7="Annualized measurement",D7-C7+1&gt;=365),LEN(TRIM(I7))&gt;0,LEN(TRIM(J7))&gt;0,ISNUMBER(K7),K7&gt;=D7,K7&lt;=Settings!$B$7,LEN(TRIM(L7))&gt;0),"Ready","Measurements incomplete")</f>
        <v>Measurements incomplete</v>
      </c>
    </row>
    <row r="8" spans="1:13" ht="43.9" customHeight="1">
      <c r="A8" s="15" t="s">
        <v>75</v>
      </c>
      <c r="B8" s="16"/>
      <c r="C8" s="19"/>
      <c r="D8" s="19"/>
      <c r="E8" s="17"/>
      <c r="F8" s="17"/>
      <c r="G8" s="18"/>
      <c r="H8" s="18"/>
      <c r="I8" s="16"/>
      <c r="J8" s="16"/>
      <c r="K8" s="19"/>
      <c r="L8" s="16"/>
      <c r="M8" s="15" t="str">
        <f>IF(AND(OR(B8="Full-year actual",B8="Annualized measurement"),COUNT(C8:H8)=6,C8&gt;0,D8&gt;=C8,D8&lt;=Settings!$B$7,OR(B8="Annualized measurement",D8-C8+1&gt;=365),LEN(TRIM(I8))&gt;0,LEN(TRIM(J8))&gt;0,ISNUMBER(K8),K8&gt;=D8,K8&lt;=Settings!$B$7,LEN(TRIM(L8))&gt;0),"Ready","Measurements incomplete")</f>
        <v>Measurements incomplete</v>
      </c>
    </row>
    <row r="9" spans="1:13" ht="43.9" customHeight="1">
      <c r="A9" s="15" t="s">
        <v>78</v>
      </c>
      <c r="B9" s="16"/>
      <c r="C9" s="19"/>
      <c r="D9" s="19"/>
      <c r="E9" s="17"/>
      <c r="F9" s="17"/>
      <c r="G9" s="18"/>
      <c r="H9" s="18"/>
      <c r="I9" s="16"/>
      <c r="J9" s="16"/>
      <c r="K9" s="19"/>
      <c r="L9" s="16"/>
      <c r="M9" s="15" t="str">
        <f>IF(AND(OR(B9="Full-year actual",B9="Annualized measurement"),COUNT(C9:H9)=6,C9&gt;0,D9&gt;=C9,D9&lt;=Settings!$B$7,OR(B9="Annualized measurement",D9-C9+1&gt;=365),LEN(TRIM(I9))&gt;0,LEN(TRIM(J9))&gt;0,ISNUMBER(K9),K9&gt;=D9,K9&lt;=Settings!$B$7,LEN(TRIM(L9))&gt;0),"Ready","Measurements incomplete")</f>
        <v>Measurements incomplete</v>
      </c>
    </row>
    <row r="10" spans="1:13" ht="43.9" customHeight="1">
      <c r="A10" s="15" t="s">
        <v>82</v>
      </c>
      <c r="B10" s="16"/>
      <c r="C10" s="19"/>
      <c r="D10" s="19"/>
      <c r="E10" s="17"/>
      <c r="F10" s="17"/>
      <c r="G10" s="18"/>
      <c r="H10" s="18"/>
      <c r="I10" s="16"/>
      <c r="J10" s="16"/>
      <c r="K10" s="19"/>
      <c r="L10" s="16"/>
      <c r="M10" s="15" t="str">
        <f>IF(AND(OR(B10="Full-year actual",B10="Annualized measurement"),COUNT(C10:H10)=6,C10&gt;0,D10&gt;=C10,D10&lt;=Settings!$B$7,OR(B10="Annualized measurement",D10-C10+1&gt;=365),LEN(TRIM(I10))&gt;0,LEN(TRIM(J10))&gt;0,ISNUMBER(K10),K10&gt;=D10,K10&lt;=Settings!$B$7,LEN(TRIM(L10))&gt;0),"Ready","Measurements incomplete")</f>
        <v>Measurements incomplete</v>
      </c>
    </row>
    <row r="11" spans="1:13" ht="43.9" customHeight="1">
      <c r="A11" s="15" t="s">
        <v>85</v>
      </c>
      <c r="B11" s="16"/>
      <c r="C11" s="19"/>
      <c r="D11" s="19"/>
      <c r="E11" s="17"/>
      <c r="F11" s="17"/>
      <c r="G11" s="18"/>
      <c r="H11" s="18"/>
      <c r="I11" s="16"/>
      <c r="J11" s="16"/>
      <c r="K11" s="19"/>
      <c r="L11" s="16"/>
      <c r="M11" s="15" t="str">
        <f>IF(AND(OR(B11="Full-year actual",B11="Annualized measurement"),COUNT(C11:H11)=6,C11&gt;0,D11&gt;=C11,D11&lt;=Settings!$B$7,OR(B11="Annualized measurement",D11-C11+1&gt;=365),LEN(TRIM(I11))&gt;0,LEN(TRIM(J11))&gt;0,ISNUMBER(K11),K11&gt;=D11,K11&lt;=Settings!$B$7,LEN(TRIM(L11))&gt;0),"Ready","Measurements incomplete")</f>
        <v>Measurements incomplete</v>
      </c>
    </row>
    <row r="12" spans="1:13" ht="43.9" customHeight="1">
      <c r="A12" s="15" t="s">
        <v>88</v>
      </c>
      <c r="B12" s="16"/>
      <c r="C12" s="19"/>
      <c r="D12" s="19"/>
      <c r="E12" s="17"/>
      <c r="F12" s="17"/>
      <c r="G12" s="18"/>
      <c r="H12" s="18"/>
      <c r="I12" s="16"/>
      <c r="J12" s="16"/>
      <c r="K12" s="19"/>
      <c r="L12" s="16"/>
      <c r="M12" s="15" t="str">
        <f>IF(AND(OR(B12="Full-year actual",B12="Annualized measurement"),COUNT(C12:H12)=6,C12&gt;0,D12&gt;=C12,D12&lt;=Settings!$B$7,OR(B12="Annualized measurement",D12-C12+1&gt;=365),LEN(TRIM(I12))&gt;0,LEN(TRIM(J12))&gt;0,ISNUMBER(K12),K12&gt;=D12,K12&lt;=Settings!$B$7,LEN(TRIM(L12))&gt;0),"Ready","Measurements incomplete")</f>
        <v>Measurements incomplete</v>
      </c>
    </row>
    <row r="13" spans="1:13" ht="43.9" customHeight="1">
      <c r="A13" s="15" t="s">
        <v>91</v>
      </c>
      <c r="B13" s="16"/>
      <c r="C13" s="19"/>
      <c r="D13" s="19"/>
      <c r="E13" s="17"/>
      <c r="F13" s="17"/>
      <c r="G13" s="18"/>
      <c r="H13" s="18"/>
      <c r="I13" s="16"/>
      <c r="J13" s="16"/>
      <c r="K13" s="19"/>
      <c r="L13" s="16"/>
      <c r="M13" s="15" t="str">
        <f>IF(AND(OR(B13="Full-year actual",B13="Annualized measurement"),COUNT(C13:H13)=6,C13&gt;0,D13&gt;=C13,D13&lt;=Settings!$B$7,OR(B13="Annualized measurement",D13-C13+1&gt;=365),LEN(TRIM(I13))&gt;0,LEN(TRIM(J13))&gt;0,ISNUMBER(K13),K13&gt;=D13,K13&lt;=Settings!$B$7,LEN(TRIM(L13))&gt;0),"Ready","Measurements incomplete")</f>
        <v>Measurements incomplete</v>
      </c>
    </row>
    <row r="14" spans="1:13" ht="43.9" customHeight="1">
      <c r="A14" s="15" t="s">
        <v>94</v>
      </c>
      <c r="B14" s="16"/>
      <c r="C14" s="19"/>
      <c r="D14" s="19"/>
      <c r="E14" s="17"/>
      <c r="F14" s="17"/>
      <c r="G14" s="18"/>
      <c r="H14" s="18"/>
      <c r="I14" s="16"/>
      <c r="J14" s="16"/>
      <c r="K14" s="19"/>
      <c r="L14" s="16"/>
      <c r="M14" s="15" t="str">
        <f>IF(AND(OR(B14="Full-year actual",B14="Annualized measurement"),COUNT(C14:H14)=6,C14&gt;0,D14&gt;=C14,D14&lt;=Settings!$B$7,OR(B14="Annualized measurement",D14-C14+1&gt;=365),LEN(TRIM(I14))&gt;0,LEN(TRIM(J14))&gt;0,ISNUMBER(K14),K14&gt;=D14,K14&lt;=Settings!$B$7,LEN(TRIM(L14))&gt;0),"Ready","Measurements incomplete")</f>
        <v>Measurements incomplete</v>
      </c>
    </row>
    <row r="15" spans="1:13" ht="43.9" customHeight="1">
      <c r="A15" s="15" t="s">
        <v>97</v>
      </c>
      <c r="B15" s="16"/>
      <c r="C15" s="19"/>
      <c r="D15" s="19"/>
      <c r="E15" s="17"/>
      <c r="F15" s="17"/>
      <c r="G15" s="18"/>
      <c r="H15" s="18"/>
      <c r="I15" s="16"/>
      <c r="J15" s="16"/>
      <c r="K15" s="19"/>
      <c r="L15" s="16"/>
      <c r="M15" s="15" t="str">
        <f>IF(AND(OR(B15="Full-year actual",B15="Annualized measurement"),COUNT(C15:H15)=6,C15&gt;0,D15&gt;=C15,D15&lt;=Settings!$B$7,OR(B15="Annualized measurement",D15-C15+1&gt;=365),LEN(TRIM(I15))&gt;0,LEN(TRIM(J15))&gt;0,ISNUMBER(K15),K15&gt;=D15,K15&lt;=Settings!$B$7,LEN(TRIM(L15))&gt;0),"Ready","Measurements incomplete")</f>
        <v>Measurements incomplete</v>
      </c>
    </row>
    <row r="16" spans="1:13" ht="43.9" customHeight="1">
      <c r="A16" s="15" t="s">
        <v>102</v>
      </c>
      <c r="B16" s="16"/>
      <c r="C16" s="19"/>
      <c r="D16" s="19"/>
      <c r="E16" s="17"/>
      <c r="F16" s="17"/>
      <c r="G16" s="18"/>
      <c r="H16" s="18"/>
      <c r="I16" s="16"/>
      <c r="J16" s="16"/>
      <c r="K16" s="19"/>
      <c r="L16" s="16"/>
      <c r="M16" s="15" t="str">
        <f>IF(AND(OR(B16="Full-year actual",B16="Annualized measurement"),COUNT(C16:H16)=6,C16&gt;0,D16&gt;=C16,D16&lt;=Settings!$B$7,OR(B16="Annualized measurement",D16-C16+1&gt;=365),LEN(TRIM(I16))&gt;0,LEN(TRIM(J16))&gt;0,ISNUMBER(K16),K16&gt;=D16,K16&lt;=Settings!$B$7,LEN(TRIM(L16))&gt;0),"Ready","Measurements incomplete")</f>
        <v>Measurements incomplete</v>
      </c>
    </row>
    <row r="17" spans="1:13" ht="43.9" customHeight="1">
      <c r="A17" s="15" t="s">
        <v>105</v>
      </c>
      <c r="B17" s="16"/>
      <c r="C17" s="19"/>
      <c r="D17" s="19"/>
      <c r="E17" s="17"/>
      <c r="F17" s="17"/>
      <c r="G17" s="18"/>
      <c r="H17" s="18"/>
      <c r="I17" s="16"/>
      <c r="J17" s="16"/>
      <c r="K17" s="19"/>
      <c r="L17" s="16"/>
      <c r="M17" s="15" t="str">
        <f>IF(AND(OR(B17="Full-year actual",B17="Annualized measurement"),COUNT(C17:H17)=6,C17&gt;0,D17&gt;=C17,D17&lt;=Settings!$B$7,OR(B17="Annualized measurement",D17-C17+1&gt;=365),LEN(TRIM(I17))&gt;0,LEN(TRIM(J17))&gt;0,ISNUMBER(K17),K17&gt;=D17,K17&lt;=Settings!$B$7,LEN(TRIM(L17))&gt;0),"Ready","Measurements incomplete")</f>
        <v>Measurements incomplete</v>
      </c>
    </row>
    <row r="18" spans="1:13" ht="43.9" customHeight="1">
      <c r="A18" s="15" t="s">
        <v>108</v>
      </c>
      <c r="B18" s="16"/>
      <c r="C18" s="19"/>
      <c r="D18" s="19"/>
      <c r="E18" s="17"/>
      <c r="F18" s="17"/>
      <c r="G18" s="18"/>
      <c r="H18" s="18"/>
      <c r="I18" s="16"/>
      <c r="J18" s="16"/>
      <c r="K18" s="19"/>
      <c r="L18" s="16"/>
      <c r="M18" s="15" t="str">
        <f>IF(AND(OR(B18="Full-year actual",B18="Annualized measurement"),COUNT(C18:H18)=6,C18&gt;0,D18&gt;=C18,D18&lt;=Settings!$B$7,OR(B18="Annualized measurement",D18-C18+1&gt;=365),LEN(TRIM(I18))&gt;0,LEN(TRIM(J18))&gt;0,ISNUMBER(K18),K18&gt;=D18,K18&lt;=Settings!$B$7,LEN(TRIM(L18))&gt;0),"Ready","Measurements incomplete")</f>
        <v>Measurements incomplete</v>
      </c>
    </row>
    <row r="19" spans="1:13" ht="43.9" customHeight="1">
      <c r="A19" s="15" t="s">
        <v>110</v>
      </c>
      <c r="B19" s="16"/>
      <c r="C19" s="19"/>
      <c r="D19" s="19"/>
      <c r="E19" s="17"/>
      <c r="F19" s="17"/>
      <c r="G19" s="18"/>
      <c r="H19" s="18"/>
      <c r="I19" s="16"/>
      <c r="J19" s="16"/>
      <c r="K19" s="19"/>
      <c r="L19" s="16"/>
      <c r="M19" s="15" t="str">
        <f>IF(AND(OR(B19="Full-year actual",B19="Annualized measurement"),COUNT(C19:H19)=6,C19&gt;0,D19&gt;=C19,D19&lt;=Settings!$B$7,OR(B19="Annualized measurement",D19-C19+1&gt;=365),LEN(TRIM(I19))&gt;0,LEN(TRIM(J19))&gt;0,ISNUMBER(K19),K19&gt;=D19,K19&lt;=Settings!$B$7,LEN(TRIM(L19))&gt;0),"Ready","Measurements incomplete")</f>
        <v>Measurements incomplete</v>
      </c>
    </row>
    <row r="20" spans="1:13" ht="43.9" customHeight="1">
      <c r="A20" s="15" t="s">
        <v>111</v>
      </c>
      <c r="B20" s="16"/>
      <c r="C20" s="19"/>
      <c r="D20" s="19"/>
      <c r="E20" s="17"/>
      <c r="F20" s="17"/>
      <c r="G20" s="18"/>
      <c r="H20" s="18"/>
      <c r="I20" s="16"/>
      <c r="J20" s="16"/>
      <c r="K20" s="19"/>
      <c r="L20" s="16"/>
      <c r="M20" s="15" t="str">
        <f>IF(AND(OR(B20="Full-year actual",B20="Annualized measurement"),COUNT(C20:H20)=6,C20&gt;0,D20&gt;=C20,D20&lt;=Settings!$B$7,OR(B20="Annualized measurement",D20-C20+1&gt;=365),LEN(TRIM(I20))&gt;0,LEN(TRIM(J20))&gt;0,ISNUMBER(K20),K20&gt;=D20,K20&lt;=Settings!$B$7,LEN(TRIM(L20))&gt;0),"Ready","Measurements incomplete")</f>
        <v>Measurements incomplete</v>
      </c>
    </row>
    <row r="21" spans="1:13" ht="43.9" customHeight="1">
      <c r="A21" s="15" t="s">
        <v>112</v>
      </c>
      <c r="B21" s="16"/>
      <c r="C21" s="19"/>
      <c r="D21" s="19"/>
      <c r="E21" s="17"/>
      <c r="F21" s="17"/>
      <c r="G21" s="18"/>
      <c r="H21" s="18"/>
      <c r="I21" s="16"/>
      <c r="J21" s="16"/>
      <c r="K21" s="19"/>
      <c r="L21" s="16"/>
      <c r="M21" s="15" t="str">
        <f>IF(AND(OR(B21="Full-year actual",B21="Annualized measurement"),COUNT(C21:H21)=6,C21&gt;0,D21&gt;=C21,D21&lt;=Settings!$B$7,OR(B21="Annualized measurement",D21-C21+1&gt;=365),LEN(TRIM(I21))&gt;0,LEN(TRIM(J21))&gt;0,ISNUMBER(K21),K21&gt;=D21,K21&lt;=Settings!$B$7,LEN(TRIM(L21))&gt;0),"Ready","Measurements incomplete")</f>
        <v>Measurements incomplete</v>
      </c>
    </row>
    <row r="22" spans="1:13" ht="43.9" customHeight="1">
      <c r="A22" s="15" t="s">
        <v>113</v>
      </c>
      <c r="B22" s="16"/>
      <c r="C22" s="19"/>
      <c r="D22" s="19"/>
      <c r="E22" s="17"/>
      <c r="F22" s="17"/>
      <c r="G22" s="18"/>
      <c r="H22" s="18"/>
      <c r="I22" s="16"/>
      <c r="J22" s="16"/>
      <c r="K22" s="19"/>
      <c r="L22" s="16"/>
      <c r="M22" s="15" t="str">
        <f>IF(AND(OR(B22="Full-year actual",B22="Annualized measurement"),COUNT(C22:H22)=6,C22&gt;0,D22&gt;=C22,D22&lt;=Settings!$B$7,OR(B22="Annualized measurement",D22-C22+1&gt;=365),LEN(TRIM(I22))&gt;0,LEN(TRIM(J22))&gt;0,ISNUMBER(K22),K22&gt;=D22,K22&lt;=Settings!$B$7,LEN(TRIM(L22))&gt;0),"Ready","Measurements incomplete")</f>
        <v>Measurements incomplete</v>
      </c>
    </row>
    <row r="23" spans="1:13" ht="43.9" customHeight="1">
      <c r="A23" s="15" t="s">
        <v>114</v>
      </c>
      <c r="B23" s="16"/>
      <c r="C23" s="19"/>
      <c r="D23" s="19"/>
      <c r="E23" s="17"/>
      <c r="F23" s="17"/>
      <c r="G23" s="18"/>
      <c r="H23" s="18"/>
      <c r="I23" s="16"/>
      <c r="J23" s="16"/>
      <c r="K23" s="19"/>
      <c r="L23" s="16"/>
      <c r="M23" s="15" t="str">
        <f>IF(AND(OR(B23="Full-year actual",B23="Annualized measurement"),COUNT(C23:H23)=6,C23&gt;0,D23&gt;=C23,D23&lt;=Settings!$B$7,OR(B23="Annualized measurement",D23-C23+1&gt;=365),LEN(TRIM(I23))&gt;0,LEN(TRIM(J23))&gt;0,ISNUMBER(K23),K23&gt;=D23,K23&lt;=Settings!$B$7,LEN(TRIM(L23))&gt;0),"Ready","Measurements incomplete")</f>
        <v>Measurements incomplete</v>
      </c>
    </row>
    <row r="24" spans="1:13" ht="43.9" customHeight="1">
      <c r="A24" s="15" t="s">
        <v>115</v>
      </c>
      <c r="B24" s="16"/>
      <c r="C24" s="19"/>
      <c r="D24" s="19"/>
      <c r="E24" s="17"/>
      <c r="F24" s="17"/>
      <c r="G24" s="18"/>
      <c r="H24" s="18"/>
      <c r="I24" s="16"/>
      <c r="J24" s="16"/>
      <c r="K24" s="19"/>
      <c r="L24" s="16"/>
      <c r="M24" s="15" t="str">
        <f>IF(AND(OR(B24="Full-year actual",B24="Annualized measurement"),COUNT(C24:H24)=6,C24&gt;0,D24&gt;=C24,D24&lt;=Settings!$B$7,OR(B24="Annualized measurement",D24-C24+1&gt;=365),LEN(TRIM(I24))&gt;0,LEN(TRIM(J24))&gt;0,ISNUMBER(K24),K24&gt;=D24,K24&lt;=Settings!$B$7,LEN(TRIM(L24))&gt;0),"Ready","Measurements incomplete")</f>
        <v>Measurements incomplete</v>
      </c>
    </row>
    <row r="25" spans="1:13" ht="43.9" customHeight="1">
      <c r="A25" s="15" t="s">
        <v>116</v>
      </c>
      <c r="B25" s="16"/>
      <c r="C25" s="19"/>
      <c r="D25" s="19"/>
      <c r="E25" s="17"/>
      <c r="F25" s="17"/>
      <c r="G25" s="18"/>
      <c r="H25" s="18"/>
      <c r="I25" s="16"/>
      <c r="J25" s="16"/>
      <c r="K25" s="19"/>
      <c r="L25" s="16"/>
      <c r="M25" s="15" t="str">
        <f>IF(AND(OR(B25="Full-year actual",B25="Annualized measurement"),COUNT(C25:H25)=6,C25&gt;0,D25&gt;=C25,D25&lt;=Settings!$B$7,OR(B25="Annualized measurement",D25-C25+1&gt;=365),LEN(TRIM(I25))&gt;0,LEN(TRIM(J25))&gt;0,ISNUMBER(K25),K25&gt;=D25,K25&lt;=Settings!$B$7,LEN(TRIM(L25))&gt;0),"Ready","Measurements incomplete")</f>
        <v>Measurements incomplete</v>
      </c>
    </row>
    <row r="26" spans="1:13" ht="43.9" customHeight="1">
      <c r="A26" s="15" t="s">
        <v>117</v>
      </c>
      <c r="B26" s="16"/>
      <c r="C26" s="19"/>
      <c r="D26" s="19"/>
      <c r="E26" s="17"/>
      <c r="F26" s="17"/>
      <c r="G26" s="18"/>
      <c r="H26" s="18"/>
      <c r="I26" s="16"/>
      <c r="J26" s="16"/>
      <c r="K26" s="19"/>
      <c r="L26" s="16"/>
      <c r="M26" s="15" t="str">
        <f>IF(AND(OR(B26="Full-year actual",B26="Annualized measurement"),COUNT(C26:H26)=6,C26&gt;0,D26&gt;=C26,D26&lt;=Settings!$B$7,OR(B26="Annualized measurement",D26-C26+1&gt;=365),LEN(TRIM(I26))&gt;0,LEN(TRIM(J26))&gt;0,ISNUMBER(K26),K26&gt;=D26,K26&lt;=Settings!$B$7,LEN(TRIM(L26))&gt;0),"Ready","Measurements incomplete")</f>
        <v>Measurements incomplete</v>
      </c>
    </row>
    <row r="27" spans="1:13" ht="43.9" customHeight="1">
      <c r="A27" s="15" t="s">
        <v>118</v>
      </c>
      <c r="B27" s="16"/>
      <c r="C27" s="19"/>
      <c r="D27" s="19"/>
      <c r="E27" s="17"/>
      <c r="F27" s="17"/>
      <c r="G27" s="18"/>
      <c r="H27" s="18"/>
      <c r="I27" s="16"/>
      <c r="J27" s="16"/>
      <c r="K27" s="19"/>
      <c r="L27" s="16"/>
      <c r="M27" s="15" t="str">
        <f>IF(AND(OR(B27="Full-year actual",B27="Annualized measurement"),COUNT(C27:H27)=6,C27&gt;0,D27&gt;=C27,D27&lt;=Settings!$B$7,OR(B27="Annualized measurement",D27-C27+1&gt;=365),LEN(TRIM(I27))&gt;0,LEN(TRIM(J27))&gt;0,ISNUMBER(K27),K27&gt;=D27,K27&lt;=Settings!$B$7,LEN(TRIM(L27))&gt;0),"Ready","Measurements incomplete")</f>
        <v>Measurements incomplete</v>
      </c>
    </row>
    <row r="28" spans="1:13" ht="43.9" customHeight="1">
      <c r="A28" s="15" t="s">
        <v>119</v>
      </c>
      <c r="B28" s="16"/>
      <c r="C28" s="19"/>
      <c r="D28" s="19"/>
      <c r="E28" s="17"/>
      <c r="F28" s="17"/>
      <c r="G28" s="18"/>
      <c r="H28" s="18"/>
      <c r="I28" s="16"/>
      <c r="J28" s="16"/>
      <c r="K28" s="19"/>
      <c r="L28" s="16"/>
      <c r="M28" s="15" t="str">
        <f>IF(AND(OR(B28="Full-year actual",B28="Annualized measurement"),COUNT(C28:H28)=6,C28&gt;0,D28&gt;=C28,D28&lt;=Settings!$B$7,OR(B28="Annualized measurement",D28-C28+1&gt;=365),LEN(TRIM(I28))&gt;0,LEN(TRIM(J28))&gt;0,ISNUMBER(K28),K28&gt;=D28,K28&lt;=Settings!$B$7,LEN(TRIM(L28))&gt;0),"Ready","Measurements incomplete")</f>
        <v>Measurements incomplete</v>
      </c>
    </row>
    <row r="29" spans="1:13" ht="43.9" customHeight="1">
      <c r="A29" s="15" t="s">
        <v>120</v>
      </c>
      <c r="B29" s="16"/>
      <c r="C29" s="19"/>
      <c r="D29" s="19"/>
      <c r="E29" s="17"/>
      <c r="F29" s="17"/>
      <c r="G29" s="18"/>
      <c r="H29" s="18"/>
      <c r="I29" s="16"/>
      <c r="J29" s="16"/>
      <c r="K29" s="19"/>
      <c r="L29" s="16"/>
      <c r="M29" s="15" t="str">
        <f>IF(AND(OR(B29="Full-year actual",B29="Annualized measurement"),COUNT(C29:H29)=6,C29&gt;0,D29&gt;=C29,D29&lt;=Settings!$B$7,OR(B29="Annualized measurement",D29-C29+1&gt;=365),LEN(TRIM(I29))&gt;0,LEN(TRIM(J29))&gt;0,ISNUMBER(K29),K29&gt;=D29,K29&lt;=Settings!$B$7,LEN(TRIM(L29))&gt;0),"Ready","Measurements incomplete")</f>
        <v>Measurements incomplete</v>
      </c>
    </row>
    <row r="30" spans="1:13" ht="43.9" customHeight="1">
      <c r="A30" s="15" t="s">
        <v>121</v>
      </c>
      <c r="B30" s="16"/>
      <c r="C30" s="19"/>
      <c r="D30" s="19"/>
      <c r="E30" s="17"/>
      <c r="F30" s="17"/>
      <c r="G30" s="18"/>
      <c r="H30" s="18"/>
      <c r="I30" s="16"/>
      <c r="J30" s="16"/>
      <c r="K30" s="19"/>
      <c r="L30" s="16"/>
      <c r="M30" s="15" t="str">
        <f>IF(AND(OR(B30="Full-year actual",B30="Annualized measurement"),COUNT(C30:H30)=6,C30&gt;0,D30&gt;=C30,D30&lt;=Settings!$B$7,OR(B30="Annualized measurement",D30-C30+1&gt;=365),LEN(TRIM(I30))&gt;0,LEN(TRIM(J30))&gt;0,ISNUMBER(K30),K30&gt;=D30,K30&lt;=Settings!$B$7,LEN(TRIM(L30))&gt;0),"Ready","Measurements incomplete")</f>
        <v>Measurements incomplete</v>
      </c>
    </row>
    <row r="31" spans="1:13" ht="43.9" customHeight="1">
      <c r="A31" s="15" t="s">
        <v>122</v>
      </c>
      <c r="B31" s="16"/>
      <c r="C31" s="19"/>
      <c r="D31" s="19"/>
      <c r="E31" s="17"/>
      <c r="F31" s="17"/>
      <c r="G31" s="18"/>
      <c r="H31" s="18"/>
      <c r="I31" s="16"/>
      <c r="J31" s="16"/>
      <c r="K31" s="19"/>
      <c r="L31" s="16"/>
      <c r="M31" s="15" t="str">
        <f>IF(AND(OR(B31="Full-year actual",B31="Annualized measurement"),COUNT(C31:H31)=6,C31&gt;0,D31&gt;=C31,D31&lt;=Settings!$B$7,OR(B31="Annualized measurement",D31-C31+1&gt;=365),LEN(TRIM(I31))&gt;0,LEN(TRIM(J31))&gt;0,ISNUMBER(K31),K31&gt;=D31,K31&lt;=Settings!$B$7,LEN(TRIM(L31))&gt;0),"Ready","Measurements incomplete")</f>
        <v>Measurements incomplete</v>
      </c>
    </row>
    <row r="32" spans="1:13" ht="43.9" customHeight="1">
      <c r="A32" s="15" t="s">
        <v>123</v>
      </c>
      <c r="B32" s="16"/>
      <c r="C32" s="19"/>
      <c r="D32" s="19"/>
      <c r="E32" s="17"/>
      <c r="F32" s="17"/>
      <c r="G32" s="18"/>
      <c r="H32" s="18"/>
      <c r="I32" s="16"/>
      <c r="J32" s="16"/>
      <c r="K32" s="19"/>
      <c r="L32" s="16"/>
      <c r="M32" s="15" t="str">
        <f>IF(AND(OR(B32="Full-year actual",B32="Annualized measurement"),COUNT(C32:H32)=6,C32&gt;0,D32&gt;=C32,D32&lt;=Settings!$B$7,OR(B32="Annualized measurement",D32-C32+1&gt;=365),LEN(TRIM(I32))&gt;0,LEN(TRIM(J32))&gt;0,ISNUMBER(K32),K32&gt;=D32,K32&lt;=Settings!$B$7,LEN(TRIM(L32))&gt;0),"Ready","Measurements incomplete")</f>
        <v>Measurements incomplete</v>
      </c>
    </row>
    <row r="33" spans="1:13" ht="43.9" customHeight="1">
      <c r="A33" s="15" t="s">
        <v>124</v>
      </c>
      <c r="B33" s="16"/>
      <c r="C33" s="19"/>
      <c r="D33" s="19"/>
      <c r="E33" s="17"/>
      <c r="F33" s="17"/>
      <c r="G33" s="18"/>
      <c r="H33" s="18"/>
      <c r="I33" s="16"/>
      <c r="J33" s="16"/>
      <c r="K33" s="19"/>
      <c r="L33" s="16"/>
      <c r="M33" s="15" t="str">
        <f>IF(AND(OR(B33="Full-year actual",B33="Annualized measurement"),COUNT(C33:H33)=6,C33&gt;0,D33&gt;=C33,D33&lt;=Settings!$B$7,OR(B33="Annualized measurement",D33-C33+1&gt;=365),LEN(TRIM(I33))&gt;0,LEN(TRIM(J33))&gt;0,ISNUMBER(K33),K33&gt;=D33,K33&lt;=Settings!$B$7,LEN(TRIM(L33))&gt;0),"Ready","Measurements incomplete")</f>
        <v>Measurements incomplete</v>
      </c>
    </row>
    <row r="34" spans="1:13" ht="43.9" customHeight="1">
      <c r="A34" s="15" t="s">
        <v>125</v>
      </c>
      <c r="B34" s="16"/>
      <c r="C34" s="19"/>
      <c r="D34" s="19"/>
      <c r="E34" s="17"/>
      <c r="F34" s="17"/>
      <c r="G34" s="18"/>
      <c r="H34" s="18"/>
      <c r="I34" s="16"/>
      <c r="J34" s="16"/>
      <c r="K34" s="19"/>
      <c r="L34" s="16"/>
      <c r="M34" s="15" t="str">
        <f>IF(AND(OR(B34="Full-year actual",B34="Annualized measurement"),COUNT(C34:H34)=6,C34&gt;0,D34&gt;=C34,D34&lt;=Settings!$B$7,OR(B34="Annualized measurement",D34-C34+1&gt;=365),LEN(TRIM(I34))&gt;0,LEN(TRIM(J34))&gt;0,ISNUMBER(K34),K34&gt;=D34,K34&lt;=Settings!$B$7,LEN(TRIM(L34))&gt;0),"Ready","Measurements incomplete")</f>
        <v>Measurements incomplete</v>
      </c>
    </row>
    <row r="35" spans="1:13" ht="43.9" customHeight="1">
      <c r="A35" s="15" t="s">
        <v>126</v>
      </c>
      <c r="B35" s="16"/>
      <c r="C35" s="19"/>
      <c r="D35" s="19"/>
      <c r="E35" s="17"/>
      <c r="F35" s="17"/>
      <c r="G35" s="18"/>
      <c r="H35" s="18"/>
      <c r="I35" s="16"/>
      <c r="J35" s="16"/>
      <c r="K35" s="19"/>
      <c r="L35" s="16"/>
      <c r="M35" s="15" t="str">
        <f>IF(AND(OR(B35="Full-year actual",B35="Annualized measurement"),COUNT(C35:H35)=6,C35&gt;0,D35&gt;=C35,D35&lt;=Settings!$B$7,OR(B35="Annualized measurement",D35-C35+1&gt;=365),LEN(TRIM(I35))&gt;0,LEN(TRIM(J35))&gt;0,ISNUMBER(K35),K35&gt;=D35,K35&lt;=Settings!$B$7,LEN(TRIM(L35))&gt;0),"Ready","Measurements incomplete")</f>
        <v>Measurements incomplete</v>
      </c>
    </row>
    <row r="36" spans="1:13" ht="43.9" customHeight="1">
      <c r="A36" s="15" t="s">
        <v>127</v>
      </c>
      <c r="B36" s="16"/>
      <c r="C36" s="19"/>
      <c r="D36" s="19"/>
      <c r="E36" s="17"/>
      <c r="F36" s="17"/>
      <c r="G36" s="18"/>
      <c r="H36" s="18"/>
      <c r="I36" s="16"/>
      <c r="J36" s="16"/>
      <c r="K36" s="19"/>
      <c r="L36" s="16"/>
      <c r="M36" s="15" t="str">
        <f>IF(AND(OR(B36="Full-year actual",B36="Annualized measurement"),COUNT(C36:H36)=6,C36&gt;0,D36&gt;=C36,D36&lt;=Settings!$B$7,OR(B36="Annualized measurement",D36-C36+1&gt;=365),LEN(TRIM(I36))&gt;0,LEN(TRIM(J36))&gt;0,ISNUMBER(K36),K36&gt;=D36,K36&lt;=Settings!$B$7,LEN(TRIM(L36))&gt;0),"Ready","Measurements incomplete")</f>
        <v>Measurements incomplete</v>
      </c>
    </row>
    <row r="37" spans="1:13" ht="43.9" customHeight="1">
      <c r="A37" s="15" t="s">
        <v>128</v>
      </c>
      <c r="B37" s="16"/>
      <c r="C37" s="19"/>
      <c r="D37" s="19"/>
      <c r="E37" s="17"/>
      <c r="F37" s="17"/>
      <c r="G37" s="18"/>
      <c r="H37" s="18"/>
      <c r="I37" s="16"/>
      <c r="J37" s="16"/>
      <c r="K37" s="19"/>
      <c r="L37" s="16"/>
      <c r="M37" s="15" t="str">
        <f>IF(AND(OR(B37="Full-year actual",B37="Annualized measurement"),COUNT(C37:H37)=6,C37&gt;0,D37&gt;=C37,D37&lt;=Settings!$B$7,OR(B37="Annualized measurement",D37-C37+1&gt;=365),LEN(TRIM(I37))&gt;0,LEN(TRIM(J37))&gt;0,ISNUMBER(K37),K37&gt;=D37,K37&lt;=Settings!$B$7,LEN(TRIM(L37))&gt;0),"Ready","Measurements incomplete")</f>
        <v>Measurements incomplete</v>
      </c>
    </row>
    <row r="38" spans="1:13" ht="43.9" customHeight="1">
      <c r="A38" s="15" t="s">
        <v>129</v>
      </c>
      <c r="B38" s="16"/>
      <c r="C38" s="19"/>
      <c r="D38" s="19"/>
      <c r="E38" s="17"/>
      <c r="F38" s="17"/>
      <c r="G38" s="18"/>
      <c r="H38" s="18"/>
      <c r="I38" s="16"/>
      <c r="J38" s="16"/>
      <c r="K38" s="19"/>
      <c r="L38" s="16"/>
      <c r="M38" s="15" t="str">
        <f>IF(AND(OR(B38="Full-year actual",B38="Annualized measurement"),COUNT(C38:H38)=6,C38&gt;0,D38&gt;=C38,D38&lt;=Settings!$B$7,OR(B38="Annualized measurement",D38-C38+1&gt;=365),LEN(TRIM(I38))&gt;0,LEN(TRIM(J38))&gt;0,ISNUMBER(K38),K38&gt;=D38,K38&lt;=Settings!$B$7,LEN(TRIM(L38))&gt;0),"Ready","Measurements incomplete")</f>
        <v>Measurements incomplete</v>
      </c>
    </row>
    <row r="39" spans="1:13" ht="43.9" customHeight="1">
      <c r="A39" s="15" t="s">
        <v>130</v>
      </c>
      <c r="B39" s="16"/>
      <c r="C39" s="19"/>
      <c r="D39" s="19"/>
      <c r="E39" s="17"/>
      <c r="F39" s="17"/>
      <c r="G39" s="18"/>
      <c r="H39" s="18"/>
      <c r="I39" s="16"/>
      <c r="J39" s="16"/>
      <c r="K39" s="19"/>
      <c r="L39" s="16"/>
      <c r="M39" s="15" t="str">
        <f>IF(AND(OR(B39="Full-year actual",B39="Annualized measurement"),COUNT(C39:H39)=6,C39&gt;0,D39&gt;=C39,D39&lt;=Settings!$B$7,OR(B39="Annualized measurement",D39-C39+1&gt;=365),LEN(TRIM(I39))&gt;0,LEN(TRIM(J39))&gt;0,ISNUMBER(K39),K39&gt;=D39,K39&lt;=Settings!$B$7,LEN(TRIM(L39))&gt;0),"Ready","Measurements incomplete")</f>
        <v>Measurements incomplete</v>
      </c>
    </row>
    <row r="40" spans="1:13" ht="43.9" customHeight="1">
      <c r="A40" s="15" t="s">
        <v>131</v>
      </c>
      <c r="B40" s="16"/>
      <c r="C40" s="19"/>
      <c r="D40" s="19"/>
      <c r="E40" s="17"/>
      <c r="F40" s="17"/>
      <c r="G40" s="18"/>
      <c r="H40" s="18"/>
      <c r="I40" s="16"/>
      <c r="J40" s="16"/>
      <c r="K40" s="19"/>
      <c r="L40" s="16"/>
      <c r="M40" s="15" t="str">
        <f>IF(AND(OR(B40="Full-year actual",B40="Annualized measurement"),COUNT(C40:H40)=6,C40&gt;0,D40&gt;=C40,D40&lt;=Settings!$B$7,OR(B40="Annualized measurement",D40-C40+1&gt;=365),LEN(TRIM(I40))&gt;0,LEN(TRIM(J40))&gt;0,ISNUMBER(K40),K40&gt;=D40,K40&lt;=Settings!$B$7,LEN(TRIM(L40))&gt;0),"Ready","Measurements incomplete")</f>
        <v>Measurements incomplete</v>
      </c>
    </row>
    <row r="41" spans="1:13" ht="43.9" customHeight="1">
      <c r="A41" s="15" t="s">
        <v>132</v>
      </c>
      <c r="B41" s="16"/>
      <c r="C41" s="19"/>
      <c r="D41" s="19"/>
      <c r="E41" s="17"/>
      <c r="F41" s="17"/>
      <c r="G41" s="18"/>
      <c r="H41" s="18"/>
      <c r="I41" s="16"/>
      <c r="J41" s="16"/>
      <c r="K41" s="19"/>
      <c r="L41" s="16"/>
      <c r="M41" s="15" t="str">
        <f>IF(AND(OR(B41="Full-year actual",B41="Annualized measurement"),COUNT(C41:H41)=6,C41&gt;0,D41&gt;=C41,D41&lt;=Settings!$B$7,OR(B41="Annualized measurement",D41-C41+1&gt;=365),LEN(TRIM(I41))&gt;0,LEN(TRIM(J41))&gt;0,ISNUMBER(K41),K41&gt;=D41,K41&lt;=Settings!$B$7,LEN(TRIM(L41))&gt;0),"Ready","Measurements incomplete")</f>
        <v>Measurements incomplete</v>
      </c>
    </row>
    <row r="42" spans="1:13" ht="43.9" customHeight="1">
      <c r="A42" s="15" t="s">
        <v>133</v>
      </c>
      <c r="B42" s="16"/>
      <c r="C42" s="19"/>
      <c r="D42" s="19"/>
      <c r="E42" s="17"/>
      <c r="F42" s="17"/>
      <c r="G42" s="18"/>
      <c r="H42" s="18"/>
      <c r="I42" s="16"/>
      <c r="J42" s="16"/>
      <c r="K42" s="19"/>
      <c r="L42" s="16"/>
      <c r="M42" s="15" t="str">
        <f>IF(AND(OR(B42="Full-year actual",B42="Annualized measurement"),COUNT(C42:H42)=6,C42&gt;0,D42&gt;=C42,D42&lt;=Settings!$B$7,OR(B42="Annualized measurement",D42-C42+1&gt;=365),LEN(TRIM(I42))&gt;0,LEN(TRIM(J42))&gt;0,ISNUMBER(K42),K42&gt;=D42,K42&lt;=Settings!$B$7,LEN(TRIM(L42))&gt;0),"Ready","Measurements incomplete")</f>
        <v>Measurements incomplete</v>
      </c>
    </row>
    <row r="43" spans="1:13" ht="43.9" customHeight="1">
      <c r="A43" s="15" t="s">
        <v>134</v>
      </c>
      <c r="B43" s="16"/>
      <c r="C43" s="19"/>
      <c r="D43" s="19"/>
      <c r="E43" s="17"/>
      <c r="F43" s="17"/>
      <c r="G43" s="18"/>
      <c r="H43" s="18"/>
      <c r="I43" s="16"/>
      <c r="J43" s="16"/>
      <c r="K43" s="19"/>
      <c r="L43" s="16"/>
      <c r="M43" s="15" t="str">
        <f>IF(AND(OR(B43="Full-year actual",B43="Annualized measurement"),COUNT(C43:H43)=6,C43&gt;0,D43&gt;=C43,D43&lt;=Settings!$B$7,OR(B43="Annualized measurement",D43-C43+1&gt;=365),LEN(TRIM(I43))&gt;0,LEN(TRIM(J43))&gt;0,ISNUMBER(K43),K43&gt;=D43,K43&lt;=Settings!$B$7,LEN(TRIM(L43))&gt;0),"Ready","Measurements incomplete")</f>
        <v>Measurements incomplete</v>
      </c>
    </row>
    <row r="44" spans="1:13" ht="43.9" customHeight="1">
      <c r="A44" s="15" t="s">
        <v>135</v>
      </c>
      <c r="B44" s="16"/>
      <c r="C44" s="19"/>
      <c r="D44" s="19"/>
      <c r="E44" s="17"/>
      <c r="F44" s="17"/>
      <c r="G44" s="18"/>
      <c r="H44" s="18"/>
      <c r="I44" s="16"/>
      <c r="J44" s="16"/>
      <c r="K44" s="19"/>
      <c r="L44" s="16"/>
      <c r="M44" s="15" t="str">
        <f>IF(AND(OR(B44="Full-year actual",B44="Annualized measurement"),COUNT(C44:H44)=6,C44&gt;0,D44&gt;=C44,D44&lt;=Settings!$B$7,OR(B44="Annualized measurement",D44-C44+1&gt;=365),LEN(TRIM(I44))&gt;0,LEN(TRIM(J44))&gt;0,ISNUMBER(K44),K44&gt;=D44,K44&lt;=Settings!$B$7,LEN(TRIM(L44))&gt;0),"Ready","Measurements incomplete")</f>
        <v>Measurements incomplete</v>
      </c>
    </row>
    <row r="45" spans="1:13" ht="43.9" customHeight="1">
      <c r="A45" s="15" t="s">
        <v>136</v>
      </c>
      <c r="B45" s="16"/>
      <c r="C45" s="19"/>
      <c r="D45" s="19"/>
      <c r="E45" s="17"/>
      <c r="F45" s="17"/>
      <c r="G45" s="18"/>
      <c r="H45" s="18"/>
      <c r="I45" s="16"/>
      <c r="J45" s="16"/>
      <c r="K45" s="19"/>
      <c r="L45" s="16"/>
      <c r="M45" s="15" t="str">
        <f>IF(AND(OR(B45="Full-year actual",B45="Annualized measurement"),COUNT(C45:H45)=6,C45&gt;0,D45&gt;=C45,D45&lt;=Settings!$B$7,OR(B45="Annualized measurement",D45-C45+1&gt;=365),LEN(TRIM(I45))&gt;0,LEN(TRIM(J45))&gt;0,ISNUMBER(K45),K45&gt;=D45,K45&lt;=Settings!$B$7,LEN(TRIM(L45))&gt;0),"Ready","Measurements incomplete")</f>
        <v>Measurements incomplete</v>
      </c>
    </row>
    <row r="46" spans="1:13" ht="43.9" customHeight="1">
      <c r="A46" s="15" t="s">
        <v>137</v>
      </c>
      <c r="B46" s="16"/>
      <c r="C46" s="19"/>
      <c r="D46" s="19"/>
      <c r="E46" s="17"/>
      <c r="F46" s="17"/>
      <c r="G46" s="18"/>
      <c r="H46" s="18"/>
      <c r="I46" s="16"/>
      <c r="J46" s="16"/>
      <c r="K46" s="19"/>
      <c r="L46" s="16"/>
      <c r="M46" s="15" t="str">
        <f>IF(AND(OR(B46="Full-year actual",B46="Annualized measurement"),COUNT(C46:H46)=6,C46&gt;0,D46&gt;=C46,D46&lt;=Settings!$B$7,OR(B46="Annualized measurement",D46-C46+1&gt;=365),LEN(TRIM(I46))&gt;0,LEN(TRIM(J46))&gt;0,ISNUMBER(K46),K46&gt;=D46,K46&lt;=Settings!$B$7,LEN(TRIM(L46))&gt;0),"Ready","Measurements incomplete")</f>
        <v>Measurements incomplete</v>
      </c>
    </row>
    <row r="47" spans="1:13" ht="43.9" customHeight="1">
      <c r="A47" s="15" t="s">
        <v>138</v>
      </c>
      <c r="B47" s="16"/>
      <c r="C47" s="19"/>
      <c r="D47" s="19"/>
      <c r="E47" s="17"/>
      <c r="F47" s="17"/>
      <c r="G47" s="18"/>
      <c r="H47" s="18"/>
      <c r="I47" s="16"/>
      <c r="J47" s="16"/>
      <c r="K47" s="19"/>
      <c r="L47" s="16"/>
      <c r="M47" s="15" t="str">
        <f>IF(AND(OR(B47="Full-year actual",B47="Annualized measurement"),COUNT(C47:H47)=6,C47&gt;0,D47&gt;=C47,D47&lt;=Settings!$B$7,OR(B47="Annualized measurement",D47-C47+1&gt;=365),LEN(TRIM(I47))&gt;0,LEN(TRIM(J47))&gt;0,ISNUMBER(K47),K47&gt;=D47,K47&lt;=Settings!$B$7,LEN(TRIM(L47))&gt;0),"Ready","Measurements incomplete")</f>
        <v>Measurements incomplete</v>
      </c>
    </row>
    <row r="48" spans="1:13" ht="43.9" customHeight="1">
      <c r="A48" s="15" t="s">
        <v>139</v>
      </c>
      <c r="B48" s="16"/>
      <c r="C48" s="19"/>
      <c r="D48" s="19"/>
      <c r="E48" s="17"/>
      <c r="F48" s="17"/>
      <c r="G48" s="18"/>
      <c r="H48" s="18"/>
      <c r="I48" s="16"/>
      <c r="J48" s="16"/>
      <c r="K48" s="19"/>
      <c r="L48" s="16"/>
      <c r="M48" s="15" t="str">
        <f>IF(AND(OR(B48="Full-year actual",B48="Annualized measurement"),COUNT(C48:H48)=6,C48&gt;0,D48&gt;=C48,D48&lt;=Settings!$B$7,OR(B48="Annualized measurement",D48-C48+1&gt;=365),LEN(TRIM(I48))&gt;0,LEN(TRIM(J48))&gt;0,ISNUMBER(K48),K48&gt;=D48,K48&lt;=Settings!$B$7,LEN(TRIM(L48))&gt;0),"Ready","Measurements incomplete")</f>
        <v>Measurements incomplete</v>
      </c>
    </row>
    <row r="49" spans="1:13" ht="43.9" customHeight="1">
      <c r="A49" s="15" t="s">
        <v>140</v>
      </c>
      <c r="B49" s="16"/>
      <c r="C49" s="19"/>
      <c r="D49" s="19"/>
      <c r="E49" s="17"/>
      <c r="F49" s="17"/>
      <c r="G49" s="18"/>
      <c r="H49" s="18"/>
      <c r="I49" s="16"/>
      <c r="J49" s="16"/>
      <c r="K49" s="19"/>
      <c r="L49" s="16"/>
      <c r="M49" s="15" t="str">
        <f>IF(AND(OR(B49="Full-year actual",B49="Annualized measurement"),COUNT(C49:H49)=6,C49&gt;0,D49&gt;=C49,D49&lt;=Settings!$B$7,OR(B49="Annualized measurement",D49-C49+1&gt;=365),LEN(TRIM(I49))&gt;0,LEN(TRIM(J49))&gt;0,ISNUMBER(K49),K49&gt;=D49,K49&lt;=Settings!$B$7,LEN(TRIM(L49))&gt;0),"Ready","Measurements incomplete")</f>
        <v>Measurements incomplete</v>
      </c>
    </row>
    <row r="50" spans="1:13" ht="43.9" customHeight="1">
      <c r="A50" s="15" t="s">
        <v>141</v>
      </c>
      <c r="B50" s="16"/>
      <c r="C50" s="19"/>
      <c r="D50" s="19"/>
      <c r="E50" s="17"/>
      <c r="F50" s="17"/>
      <c r="G50" s="18"/>
      <c r="H50" s="18"/>
      <c r="I50" s="16"/>
      <c r="J50" s="16"/>
      <c r="K50" s="19"/>
      <c r="L50" s="16"/>
      <c r="M50" s="15" t="str">
        <f>IF(AND(OR(B50="Full-year actual",B50="Annualized measurement"),COUNT(C50:H50)=6,C50&gt;0,D50&gt;=C50,D50&lt;=Settings!$B$7,OR(B50="Annualized measurement",D50-C50+1&gt;=365),LEN(TRIM(I50))&gt;0,LEN(TRIM(J50))&gt;0,ISNUMBER(K50),K50&gt;=D50,K50&lt;=Settings!$B$7,LEN(TRIM(L50))&gt;0),"Ready","Measurements incomplete")</f>
        <v>Measurements incomplete</v>
      </c>
    </row>
    <row r="51" spans="1:13" ht="43.9" customHeight="1">
      <c r="A51" s="15" t="s">
        <v>142</v>
      </c>
      <c r="B51" s="16"/>
      <c r="C51" s="19"/>
      <c r="D51" s="19"/>
      <c r="E51" s="17"/>
      <c r="F51" s="17"/>
      <c r="G51" s="18"/>
      <c r="H51" s="18"/>
      <c r="I51" s="16"/>
      <c r="J51" s="16"/>
      <c r="K51" s="19"/>
      <c r="L51" s="16"/>
      <c r="M51" s="15" t="str">
        <f>IF(AND(OR(B51="Full-year actual",B51="Annualized measurement"),COUNT(C51:H51)=6,C51&gt;0,D51&gt;=C51,D51&lt;=Settings!$B$7,OR(B51="Annualized measurement",D51-C51+1&gt;=365),LEN(TRIM(I51))&gt;0,LEN(TRIM(J51))&gt;0,ISNUMBER(K51),K51&gt;=D51,K51&lt;=Settings!$B$7,LEN(TRIM(L51))&gt;0),"Ready","Measurements incomplete")</f>
        <v>Measurements incomplete</v>
      </c>
    </row>
    <row r="52" spans="1:13" ht="43.9" customHeight="1">
      <c r="A52" s="15" t="s">
        <v>143</v>
      </c>
      <c r="B52" s="16"/>
      <c r="C52" s="19"/>
      <c r="D52" s="19"/>
      <c r="E52" s="17"/>
      <c r="F52" s="17"/>
      <c r="G52" s="18"/>
      <c r="H52" s="18"/>
      <c r="I52" s="16"/>
      <c r="J52" s="16"/>
      <c r="K52" s="19"/>
      <c r="L52" s="16"/>
      <c r="M52" s="15" t="str">
        <f>IF(AND(OR(B52="Full-year actual",B52="Annualized measurement"),COUNT(C52:H52)=6,C52&gt;0,D52&gt;=C52,D52&lt;=Settings!$B$7,OR(B52="Annualized measurement",D52-C52+1&gt;=365),LEN(TRIM(I52))&gt;0,LEN(TRIM(J52))&gt;0,ISNUMBER(K52),K52&gt;=D52,K52&lt;=Settings!$B$7,LEN(TRIM(L52))&gt;0),"Ready","Measurements incomplete")</f>
        <v>Measurements incomplete</v>
      </c>
    </row>
    <row r="53" spans="1:13" ht="43.9" customHeight="1">
      <c r="A53" s="15" t="s">
        <v>144</v>
      </c>
      <c r="B53" s="16"/>
      <c r="C53" s="19"/>
      <c r="D53" s="19"/>
      <c r="E53" s="17"/>
      <c r="F53" s="17"/>
      <c r="G53" s="18"/>
      <c r="H53" s="18"/>
      <c r="I53" s="16"/>
      <c r="J53" s="16"/>
      <c r="K53" s="19"/>
      <c r="L53" s="16"/>
      <c r="M53" s="15" t="str">
        <f>IF(AND(OR(B53="Full-year actual",B53="Annualized measurement"),COUNT(C53:H53)=6,C53&gt;0,D53&gt;=C53,D53&lt;=Settings!$B$7,OR(B53="Annualized measurement",D53-C53+1&gt;=365),LEN(TRIM(I53))&gt;0,LEN(TRIM(J53))&gt;0,ISNUMBER(K53),K53&gt;=D53,K53&lt;=Settings!$B$7,LEN(TRIM(L53))&gt;0),"Ready","Measurements incomplete")</f>
        <v>Measurements incomplete</v>
      </c>
    </row>
    <row r="54" spans="1:13" ht="43.9" customHeight="1">
      <c r="A54" s="15" t="s">
        <v>145</v>
      </c>
      <c r="B54" s="16"/>
      <c r="C54" s="19"/>
      <c r="D54" s="19"/>
      <c r="E54" s="17"/>
      <c r="F54" s="17"/>
      <c r="G54" s="18"/>
      <c r="H54" s="18"/>
      <c r="I54" s="16"/>
      <c r="J54" s="16"/>
      <c r="K54" s="19"/>
      <c r="L54" s="16"/>
      <c r="M54" s="15" t="str">
        <f>IF(AND(OR(B54="Full-year actual",B54="Annualized measurement"),COUNT(C54:H54)=6,C54&gt;0,D54&gt;=C54,D54&lt;=Settings!$B$7,OR(B54="Annualized measurement",D54-C54+1&gt;=365),LEN(TRIM(I54))&gt;0,LEN(TRIM(J54))&gt;0,ISNUMBER(K54),K54&gt;=D54,K54&lt;=Settings!$B$7,LEN(TRIM(L54))&gt;0),"Ready","Measurements incomplete")</f>
        <v>Measurements incomplete</v>
      </c>
    </row>
    <row r="55" spans="1:13" ht="43.9" customHeight="1">
      <c r="A55" s="15" t="s">
        <v>146</v>
      </c>
      <c r="B55" s="16"/>
      <c r="C55" s="19"/>
      <c r="D55" s="19"/>
      <c r="E55" s="17"/>
      <c r="F55" s="17"/>
      <c r="G55" s="18"/>
      <c r="H55" s="18"/>
      <c r="I55" s="16"/>
      <c r="J55" s="16"/>
      <c r="K55" s="19"/>
      <c r="L55" s="16"/>
      <c r="M55" s="15" t="str">
        <f>IF(AND(OR(B55="Full-year actual",B55="Annualized measurement"),COUNT(C55:H55)=6,C55&gt;0,D55&gt;=C55,D55&lt;=Settings!$B$7,OR(B55="Annualized measurement",D55-C55+1&gt;=365),LEN(TRIM(I55))&gt;0,LEN(TRIM(J55))&gt;0,ISNUMBER(K55),K55&gt;=D55,K55&lt;=Settings!$B$7,LEN(TRIM(L55))&gt;0),"Ready","Measurements incomplete")</f>
        <v>Measurements incomplete</v>
      </c>
    </row>
    <row r="56" spans="1:13" ht="43.9" customHeight="1">
      <c r="A56" s="15" t="s">
        <v>147</v>
      </c>
      <c r="B56" s="16"/>
      <c r="C56" s="19"/>
      <c r="D56" s="19"/>
      <c r="E56" s="17"/>
      <c r="F56" s="17"/>
      <c r="G56" s="18"/>
      <c r="H56" s="18"/>
      <c r="I56" s="16"/>
      <c r="J56" s="16"/>
      <c r="K56" s="19"/>
      <c r="L56" s="16"/>
      <c r="M56" s="15" t="str">
        <f>IF(AND(OR(B56="Full-year actual",B56="Annualized measurement"),COUNT(C56:H56)=6,C56&gt;0,D56&gt;=C56,D56&lt;=Settings!$B$7,OR(B56="Annualized measurement",D56-C56+1&gt;=365),LEN(TRIM(I56))&gt;0,LEN(TRIM(J56))&gt;0,ISNUMBER(K56),K56&gt;=D56,K56&lt;=Settings!$B$7,LEN(TRIM(L56))&gt;0),"Ready","Measurements incomplete")</f>
        <v>Measurements incomplete</v>
      </c>
    </row>
    <row r="57" spans="1:13" ht="22.9" customHeight="1">
      <c r="A57" s="1"/>
      <c r="B57" s="1"/>
      <c r="C57" s="1"/>
      <c r="D57" s="1"/>
      <c r="E57" s="1"/>
      <c r="F57" s="1"/>
      <c r="G57" s="1"/>
      <c r="H57" s="1"/>
      <c r="I57" s="1"/>
      <c r="J57" s="1"/>
      <c r="K57" s="1"/>
      <c r="L57" s="1"/>
      <c r="M57" s="1"/>
    </row>
    <row r="58" spans="1:13" ht="22.9" customHeight="1">
      <c r="A58" s="1"/>
      <c r="B58" s="1"/>
      <c r="C58" s="1"/>
      <c r="D58" s="1"/>
      <c r="E58" s="1"/>
      <c r="F58" s="1"/>
      <c r="G58" s="1"/>
      <c r="H58" s="1"/>
      <c r="I58" s="1"/>
      <c r="J58" s="1"/>
      <c r="K58" s="1"/>
      <c r="L58" s="1"/>
      <c r="M58" s="1"/>
    </row>
    <row r="59" spans="1:13" ht="22.9" customHeight="1">
      <c r="A59" s="1"/>
      <c r="B59" s="1"/>
      <c r="C59" s="1"/>
      <c r="D59" s="1"/>
      <c r="E59" s="1"/>
      <c r="F59" s="1"/>
      <c r="G59" s="1"/>
      <c r="H59" s="1"/>
      <c r="I59" s="1"/>
      <c r="J59" s="1"/>
      <c r="K59" s="1"/>
      <c r="L59" s="1"/>
      <c r="M59" s="1"/>
    </row>
    <row r="60" spans="1:13" ht="22.9" customHeight="1">
      <c r="A60" s="1"/>
      <c r="B60" s="1"/>
      <c r="C60" s="1"/>
      <c r="D60" s="1"/>
      <c r="E60" s="1"/>
      <c r="F60" s="1"/>
      <c r="G60" s="1"/>
      <c r="H60" s="1"/>
      <c r="I60" s="1"/>
      <c r="J60" s="1"/>
      <c r="K60" s="1"/>
      <c r="L60" s="1"/>
      <c r="M60" s="1"/>
    </row>
    <row r="61" spans="1:13" ht="22.9" customHeight="1">
      <c r="A61" s="1"/>
      <c r="B61" s="1"/>
      <c r="C61" s="1"/>
      <c r="D61" s="1"/>
      <c r="E61" s="1"/>
      <c r="F61" s="1"/>
      <c r="G61" s="1"/>
      <c r="H61" s="1"/>
      <c r="I61" s="1"/>
      <c r="J61" s="1"/>
      <c r="K61" s="1"/>
      <c r="L61" s="1"/>
      <c r="M61" s="1"/>
    </row>
    <row r="62" spans="1:13" ht="22.9" customHeight="1">
      <c r="A62" s="1"/>
      <c r="B62" s="1"/>
      <c r="C62" s="1"/>
      <c r="D62" s="1"/>
      <c r="E62" s="1"/>
      <c r="F62" s="1"/>
      <c r="G62" s="1"/>
      <c r="H62" s="1"/>
      <c r="I62" s="1"/>
      <c r="J62" s="1"/>
      <c r="K62" s="1"/>
      <c r="L62" s="1"/>
      <c r="M62" s="1"/>
    </row>
    <row r="63" spans="1:13" ht="22.9" customHeight="1">
      <c r="A63" s="1"/>
      <c r="B63" s="1"/>
      <c r="C63" s="1"/>
      <c r="D63" s="1"/>
      <c r="E63" s="1"/>
      <c r="F63" s="1"/>
      <c r="G63" s="1"/>
      <c r="H63" s="1"/>
      <c r="I63" s="1"/>
      <c r="J63" s="1"/>
      <c r="K63" s="1"/>
      <c r="L63" s="1"/>
      <c r="M63" s="1"/>
    </row>
    <row r="64" spans="1:13" ht="22.9" customHeight="1">
      <c r="A64" s="1"/>
      <c r="B64" s="1"/>
      <c r="C64" s="1"/>
      <c r="D64" s="1"/>
      <c r="E64" s="1"/>
      <c r="F64" s="1"/>
      <c r="G64" s="1"/>
      <c r="H64" s="1"/>
      <c r="I64" s="1"/>
      <c r="J64" s="1"/>
      <c r="K64" s="1"/>
      <c r="L64" s="1"/>
      <c r="M64" s="1"/>
    </row>
    <row r="65" spans="1:13" ht="22.9" customHeight="1">
      <c r="A65" s="1"/>
      <c r="B65" s="1"/>
      <c r="C65" s="1"/>
      <c r="D65" s="1"/>
      <c r="E65" s="1"/>
      <c r="F65" s="1"/>
      <c r="G65" s="1"/>
      <c r="H65" s="1"/>
      <c r="I65" s="1"/>
      <c r="J65" s="1"/>
      <c r="K65" s="1"/>
      <c r="L65" s="1"/>
      <c r="M65" s="1"/>
    </row>
    <row r="66" spans="1:13" ht="22.9" customHeight="1">
      <c r="A66" s="1"/>
      <c r="B66" s="1"/>
      <c r="C66" s="1"/>
      <c r="D66" s="1"/>
      <c r="E66" s="1"/>
      <c r="F66" s="1"/>
      <c r="G66" s="1"/>
      <c r="H66" s="1"/>
      <c r="I66" s="1"/>
      <c r="J66" s="1"/>
      <c r="K66" s="1"/>
      <c r="L66" s="1"/>
      <c r="M66" s="1"/>
    </row>
    <row r="67" spans="1:13" ht="22.9" customHeight="1">
      <c r="A67" s="1"/>
      <c r="B67" s="1"/>
      <c r="C67" s="1"/>
      <c r="D67" s="1"/>
      <c r="E67" s="1"/>
      <c r="F67" s="1"/>
      <c r="G67" s="1"/>
      <c r="H67" s="1"/>
      <c r="I67" s="1"/>
      <c r="J67" s="1"/>
      <c r="K67" s="1"/>
      <c r="L67" s="1"/>
      <c r="M67" s="1"/>
    </row>
    <row r="68" spans="1:13" ht="22.9" customHeight="1">
      <c r="A68" s="1"/>
      <c r="B68" s="1"/>
      <c r="C68" s="1"/>
      <c r="D68" s="1"/>
      <c r="E68" s="1"/>
      <c r="F68" s="1"/>
      <c r="G68" s="1"/>
      <c r="H68" s="1"/>
      <c r="I68" s="1"/>
      <c r="J68" s="1"/>
      <c r="K68" s="1"/>
      <c r="L68" s="1"/>
      <c r="M68" s="1"/>
    </row>
    <row r="69" spans="1:13" ht="22.9" customHeight="1">
      <c r="A69" s="1"/>
      <c r="B69" s="1"/>
      <c r="C69" s="1"/>
      <c r="D69" s="1"/>
      <c r="E69" s="1"/>
      <c r="F69" s="1"/>
      <c r="G69" s="1"/>
      <c r="H69" s="1"/>
      <c r="I69" s="1"/>
      <c r="J69" s="1"/>
      <c r="K69" s="1"/>
      <c r="L69" s="1"/>
      <c r="M69" s="1"/>
    </row>
    <row r="70" spans="1:13" ht="22.9" customHeight="1">
      <c r="A70" s="1"/>
      <c r="B70" s="1"/>
      <c r="C70" s="1"/>
      <c r="D70" s="1"/>
      <c r="E70" s="1"/>
      <c r="F70" s="1"/>
      <c r="G70" s="1"/>
      <c r="H70" s="1"/>
      <c r="I70" s="1"/>
      <c r="J70" s="1"/>
      <c r="K70" s="1"/>
      <c r="L70" s="1"/>
      <c r="M70" s="1"/>
    </row>
    <row r="71" spans="1:13" ht="22.9" customHeight="1">
      <c r="A71" s="1"/>
      <c r="B71" s="1"/>
      <c r="C71" s="1"/>
      <c r="D71" s="1"/>
      <c r="E71" s="1"/>
      <c r="F71" s="1"/>
      <c r="G71" s="1"/>
      <c r="H71" s="1"/>
      <c r="I71" s="1"/>
      <c r="J71" s="1"/>
      <c r="K71" s="1"/>
      <c r="L71" s="1"/>
      <c r="M71" s="1"/>
    </row>
    <row r="72" spans="1:13" ht="22.9" customHeight="1">
      <c r="A72" s="1"/>
      <c r="B72" s="1"/>
      <c r="C72" s="1"/>
      <c r="D72" s="1"/>
      <c r="E72" s="1"/>
      <c r="F72" s="1"/>
      <c r="G72" s="1"/>
      <c r="H72" s="1"/>
      <c r="I72" s="1"/>
      <c r="J72" s="1"/>
      <c r="K72" s="1"/>
      <c r="L72" s="1"/>
      <c r="M72" s="1"/>
    </row>
    <row r="73" spans="1:13" ht="22.9" customHeight="1">
      <c r="A73" s="1"/>
      <c r="B73" s="1"/>
      <c r="C73" s="1"/>
      <c r="D73" s="1"/>
      <c r="E73" s="1"/>
      <c r="F73" s="1"/>
      <c r="G73" s="1"/>
      <c r="H73" s="1"/>
      <c r="I73" s="1"/>
      <c r="J73" s="1"/>
      <c r="K73" s="1"/>
      <c r="L73" s="1"/>
      <c r="M73" s="1"/>
    </row>
    <row r="74" spans="1:13" ht="22.9" customHeight="1">
      <c r="A74" s="1"/>
      <c r="B74" s="1"/>
      <c r="C74" s="1"/>
      <c r="D74" s="1"/>
      <c r="E74" s="1"/>
      <c r="F74" s="1"/>
      <c r="G74" s="1"/>
      <c r="H74" s="1"/>
      <c r="I74" s="1"/>
      <c r="J74" s="1"/>
      <c r="K74" s="1"/>
      <c r="L74" s="1"/>
      <c r="M74" s="1"/>
    </row>
    <row r="75" spans="1:13" ht="22.9" customHeight="1">
      <c r="A75" s="1"/>
      <c r="B75" s="1"/>
      <c r="C75" s="1"/>
      <c r="D75" s="1"/>
      <c r="E75" s="1"/>
      <c r="F75" s="1"/>
      <c r="G75" s="1"/>
      <c r="H75" s="1"/>
      <c r="I75" s="1"/>
      <c r="J75" s="1"/>
      <c r="K75" s="1"/>
      <c r="L75" s="1"/>
      <c r="M75" s="1"/>
    </row>
    <row r="76" spans="1:13" ht="22.9" customHeight="1">
      <c r="A76" s="1"/>
      <c r="B76" s="1"/>
      <c r="C76" s="1"/>
      <c r="D76" s="1"/>
      <c r="E76" s="1"/>
      <c r="F76" s="1"/>
      <c r="G76" s="1"/>
      <c r="H76" s="1"/>
      <c r="I76" s="1"/>
      <c r="J76" s="1"/>
      <c r="K76" s="1"/>
      <c r="L76" s="1"/>
      <c r="M76" s="1"/>
    </row>
    <row r="77" spans="1:13" ht="22.9" customHeight="1">
      <c r="A77" s="1"/>
      <c r="B77" s="1"/>
      <c r="C77" s="1"/>
      <c r="D77" s="1"/>
      <c r="E77" s="1"/>
      <c r="F77" s="1"/>
      <c r="G77" s="1"/>
      <c r="H77" s="1"/>
      <c r="I77" s="1"/>
      <c r="J77" s="1"/>
      <c r="K77" s="1"/>
      <c r="L77" s="1"/>
      <c r="M77" s="1"/>
    </row>
    <row r="78" spans="1:13" ht="22.9" customHeight="1">
      <c r="A78" s="1"/>
      <c r="B78" s="1"/>
      <c r="C78" s="1"/>
      <c r="D78" s="1"/>
      <c r="E78" s="1"/>
      <c r="F78" s="1"/>
      <c r="G78" s="1"/>
      <c r="H78" s="1"/>
      <c r="I78" s="1"/>
      <c r="J78" s="1"/>
      <c r="K78" s="1"/>
      <c r="L78" s="1"/>
      <c r="M78" s="1"/>
    </row>
    <row r="79" spans="1:13" ht="22.9" customHeight="1">
      <c r="A79" s="1"/>
      <c r="B79" s="1"/>
      <c r="C79" s="1"/>
      <c r="D79" s="1"/>
      <c r="E79" s="1"/>
      <c r="F79" s="1"/>
      <c r="G79" s="1"/>
      <c r="H79" s="1"/>
      <c r="I79" s="1"/>
      <c r="J79" s="1"/>
      <c r="K79" s="1"/>
      <c r="L79" s="1"/>
      <c r="M79" s="1"/>
    </row>
    <row r="80" spans="1:13" ht="22.9" customHeight="1">
      <c r="A80" s="1"/>
      <c r="B80" s="1"/>
      <c r="C80" s="1"/>
      <c r="D80" s="1"/>
      <c r="E80" s="1"/>
      <c r="F80" s="1"/>
      <c r="G80" s="1"/>
      <c r="H80" s="1"/>
      <c r="I80" s="1"/>
      <c r="J80" s="1"/>
      <c r="K80" s="1"/>
      <c r="L80" s="1"/>
      <c r="M80" s="1"/>
    </row>
  </sheetData>
  <mergeCells count="2">
    <mergeCell ref="A1:M2"/>
    <mergeCell ref="A3:M4"/>
  </mergeCells>
  <conditionalFormatting sqref="M7:M56">
    <cfRule type="expression" dxfId="2" priority="1">
      <formula>OR(M7="Ready",M7="Clear")</formula>
    </cfRule>
    <cfRule type="expression" dxfId="1" priority="2">
      <formula>M7="Blocked"</formula>
    </cfRule>
  </conditionalFormatting>
  <dataValidations count="3">
    <dataValidation type="list" allowBlank="1" showInputMessage="1" showErrorMessage="1" errorTitle="Choose a listed value" error="Use the dropdown. Blank means not yet known; it is not approval." promptTitle="Measurement basis" prompt="Annualized results need a documented, like-for-like normalization; they are not full-year observations." sqref="B7:B56" xr:uid="{00000000-0002-0000-0700-000000000000}">
      <formula1>"Full-year actual,Annualized measurement"</formula1>
    </dataValidation>
    <dataValidation type="date" allowBlank="1" showInputMessage="1" showErrorMessage="1" errorTitle="Enter a date" error="Use a date between 2000 and 2100." promptTitle="Required date" prompt="Use a real date. Future dates do not contribute before the planning as-of date." sqref="K7:K56 C7:D56" xr:uid="{00000000-0002-0000-0700-000001000000}">
      <formula1>36526</formula1>
      <formula2>73050</formula2>
    </dataValidation>
    <dataValidation type="decimal" allowBlank="1" showInputMessage="1" showErrorMessage="1" errorTitle="Invalid number" error="Enter a valid number within the stated range." promptTitle="Signed measured change" prompt="Current minus post-change, annual equivalent. Negative means additional work/spend. Enter confirmed zero, never a blank." sqref="E7:H56" xr:uid="{00000000-0002-0000-0700-000004000000}">
      <formula1>-1000000000000</formula1>
      <formula2>1000000000000</formula2>
    </dataValidation>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2" customWidth="1"/>
    <col min="2" max="2" width="13" customWidth="1"/>
    <col min="3" max="3" width="32" customWidth="1"/>
    <col min="4" max="4" width="16" customWidth="1"/>
    <col min="5" max="5" width="15" customWidth="1"/>
    <col min="6" max="6" width="16" customWidth="1"/>
    <col min="7" max="7" width="19" customWidth="1"/>
    <col min="8" max="8" width="18" customWidth="1"/>
    <col min="9" max="9" width="14" customWidth="1"/>
    <col min="10" max="10" width="20" customWidth="1"/>
    <col min="11" max="11" width="43" customWidth="1"/>
    <col min="12" max="12" width="30" customWidth="1"/>
    <col min="13" max="14" width="16" customWidth="1"/>
    <col min="15" max="16" width="18" customWidth="1"/>
  </cols>
  <sheetData>
    <row r="1" spans="1:16" ht="24" customHeight="1">
      <c r="A1" s="31" t="s">
        <v>230</v>
      </c>
      <c r="B1" s="31"/>
      <c r="C1" s="31"/>
      <c r="D1" s="31"/>
      <c r="E1" s="31"/>
      <c r="F1" s="31"/>
      <c r="G1" s="31"/>
      <c r="H1" s="31"/>
      <c r="I1" s="31"/>
      <c r="J1" s="31"/>
      <c r="K1" s="31"/>
      <c r="L1" s="2"/>
      <c r="M1" s="2"/>
      <c r="N1" s="2"/>
      <c r="O1" s="2"/>
      <c r="P1" s="2"/>
    </row>
    <row r="2" spans="1:16" ht="24" customHeight="1">
      <c r="A2" s="31"/>
      <c r="B2" s="31"/>
      <c r="C2" s="31"/>
      <c r="D2" s="31"/>
      <c r="E2" s="31"/>
      <c r="F2" s="31"/>
      <c r="G2" s="31"/>
      <c r="H2" s="31"/>
      <c r="I2" s="31"/>
      <c r="J2" s="31"/>
      <c r="K2" s="31"/>
      <c r="L2" s="2"/>
      <c r="M2" s="2"/>
      <c r="N2" s="2"/>
      <c r="O2" s="2"/>
      <c r="P2" s="2"/>
    </row>
    <row r="3" spans="1:16" ht="22.15" customHeight="1">
      <c r="A3" s="32" t="s">
        <v>231</v>
      </c>
      <c r="B3" s="32"/>
      <c r="C3" s="32"/>
      <c r="D3" s="32"/>
      <c r="E3" s="32"/>
      <c r="F3" s="32"/>
      <c r="G3" s="32"/>
      <c r="H3" s="32"/>
      <c r="I3" s="32"/>
      <c r="J3" s="32"/>
      <c r="K3" s="32"/>
      <c r="L3" s="3"/>
      <c r="M3" s="3"/>
      <c r="N3" s="3"/>
      <c r="O3" s="3"/>
      <c r="P3" s="3"/>
    </row>
    <row r="4" spans="1:16" ht="22.15" customHeight="1">
      <c r="A4" s="32"/>
      <c r="B4" s="32"/>
      <c r="C4" s="32"/>
      <c r="D4" s="32"/>
      <c r="E4" s="32"/>
      <c r="F4" s="32"/>
      <c r="G4" s="32"/>
      <c r="H4" s="32"/>
      <c r="I4" s="32"/>
      <c r="J4" s="32"/>
      <c r="K4" s="32"/>
      <c r="L4" s="3"/>
      <c r="M4" s="3"/>
      <c r="N4" s="3"/>
      <c r="O4" s="3"/>
      <c r="P4" s="3"/>
    </row>
    <row r="5" spans="1:16" ht="22.9" customHeight="1">
      <c r="A5" s="4" t="str">
        <f>IFERROR(HYPERLINK("#'Start'!A1","← Start"),"← Start")</f>
        <v>← Start</v>
      </c>
      <c r="B5" s="1"/>
      <c r="C5" s="1"/>
      <c r="D5" s="1"/>
      <c r="E5" s="1"/>
      <c r="F5" s="1"/>
      <c r="G5" s="1"/>
      <c r="H5" s="1"/>
      <c r="I5" s="1"/>
      <c r="J5" s="1"/>
      <c r="K5" s="1"/>
      <c r="L5" s="1"/>
      <c r="M5" s="1"/>
      <c r="N5" s="1"/>
      <c r="O5" s="1"/>
      <c r="P5" s="1"/>
    </row>
    <row r="6" spans="1:16" ht="22.9" customHeight="1">
      <c r="A6" s="1"/>
      <c r="B6" s="1"/>
      <c r="C6" s="1"/>
      <c r="D6" s="1"/>
      <c r="E6" s="1"/>
      <c r="F6" s="1"/>
      <c r="G6" s="1"/>
      <c r="H6" s="1"/>
      <c r="I6" s="1"/>
      <c r="J6" s="1"/>
      <c r="K6" s="1"/>
      <c r="L6" s="1"/>
      <c r="M6" s="1"/>
      <c r="N6" s="1"/>
      <c r="O6" s="1"/>
      <c r="P6" s="1"/>
    </row>
    <row r="7" spans="1:16" ht="25.15" customHeight="1">
      <c r="A7" s="25" t="s">
        <v>232</v>
      </c>
      <c r="B7" s="25"/>
      <c r="C7" s="25"/>
      <c r="D7" s="25"/>
      <c r="E7" s="25"/>
      <c r="F7" s="25"/>
      <c r="G7" s="25"/>
      <c r="H7" s="25"/>
      <c r="I7" s="25"/>
      <c r="J7" s="25"/>
      <c r="K7" s="25"/>
      <c r="L7" s="1"/>
      <c r="M7" s="1"/>
      <c r="N7" s="1"/>
      <c r="O7" s="1"/>
      <c r="P7" s="1"/>
    </row>
    <row r="8" spans="1:16" ht="22.9" customHeight="1">
      <c r="A8" s="1" t="s">
        <v>233</v>
      </c>
      <c r="B8" s="1"/>
      <c r="C8" s="37" t="str">
        <f>Settings!B8</f>
        <v>Approved + measured</v>
      </c>
      <c r="D8" s="37"/>
      <c r="E8" s="37"/>
      <c r="F8" s="37"/>
      <c r="G8" s="1"/>
      <c r="H8" s="1"/>
      <c r="I8" s="1"/>
      <c r="J8" s="1"/>
      <c r="K8" s="1"/>
      <c r="L8" s="1"/>
      <c r="M8" s="1"/>
      <c r="N8" s="1"/>
      <c r="O8" s="1"/>
      <c r="P8" s="1"/>
    </row>
    <row r="9" spans="1:16" ht="22.9" customHeight="1">
      <c r="A9" s="1"/>
      <c r="B9" s="1"/>
      <c r="C9" s="1"/>
      <c r="D9" s="1"/>
      <c r="E9" s="1"/>
      <c r="F9" s="1"/>
      <c r="G9" s="1"/>
      <c r="H9" s="1"/>
      <c r="I9" s="1"/>
      <c r="J9" s="1"/>
      <c r="K9" s="1"/>
      <c r="L9" s="1"/>
      <c r="M9" s="1"/>
      <c r="N9" s="1"/>
      <c r="O9" s="1"/>
      <c r="P9" s="1"/>
    </row>
    <row r="10" spans="1:16" ht="22.9" customHeight="1">
      <c r="A10" s="21" t="s">
        <v>234</v>
      </c>
      <c r="B10" s="21"/>
      <c r="C10" s="21"/>
      <c r="D10" s="21"/>
      <c r="E10" s="21" t="s">
        <v>235</v>
      </c>
      <c r="F10" s="21"/>
      <c r="G10" s="21" t="s">
        <v>236</v>
      </c>
      <c r="H10" s="21"/>
      <c r="I10" s="21" t="s">
        <v>237</v>
      </c>
      <c r="J10" s="21"/>
      <c r="K10" s="21"/>
      <c r="L10" s="1"/>
      <c r="M10" s="1"/>
      <c r="N10" s="1"/>
      <c r="O10" s="1"/>
      <c r="P10" s="1"/>
    </row>
    <row r="11" spans="1:16" ht="22.9" customHeight="1">
      <c r="A11" s="37" t="s">
        <v>45</v>
      </c>
      <c r="B11" s="37"/>
      <c r="C11" s="37"/>
      <c r="D11" s="37"/>
      <c r="E11" s="40">
        <f>SUM(Checks!AA7:AA56)</f>
        <v>0</v>
      </c>
      <c r="F11" s="40"/>
      <c r="G11" s="40">
        <f>SUM(M31:M50)</f>
        <v>0</v>
      </c>
      <c r="H11" s="40"/>
      <c r="I11" s="40">
        <f>E11-G11</f>
        <v>0</v>
      </c>
      <c r="J11" s="40"/>
      <c r="K11" s="40"/>
      <c r="L11" s="1"/>
      <c r="M11" s="1"/>
      <c r="N11" s="1"/>
      <c r="O11" s="1"/>
      <c r="P11" s="1"/>
    </row>
    <row r="12" spans="1:16" ht="22.9" customHeight="1">
      <c r="A12" s="37" t="s">
        <v>238</v>
      </c>
      <c r="B12" s="37"/>
      <c r="C12" s="37"/>
      <c r="D12" s="37"/>
      <c r="E12" s="40">
        <f>SUM(Checks!AB7:AB56)</f>
        <v>0</v>
      </c>
      <c r="F12" s="40"/>
      <c r="G12" s="40">
        <f>SUM(N31:N50)</f>
        <v>0</v>
      </c>
      <c r="H12" s="40"/>
      <c r="I12" s="40">
        <f>E12-G12</f>
        <v>0</v>
      </c>
      <c r="J12" s="40"/>
      <c r="K12" s="40"/>
      <c r="L12" s="1"/>
      <c r="M12" s="1"/>
      <c r="N12" s="1"/>
      <c r="O12" s="1"/>
      <c r="P12" s="1"/>
    </row>
    <row r="13" spans="1:16" ht="22.9" customHeight="1">
      <c r="A13" s="37" t="s">
        <v>47</v>
      </c>
      <c r="B13" s="37"/>
      <c r="C13" s="37"/>
      <c r="D13" s="37"/>
      <c r="E13" s="39">
        <f>SUM(Checks!AC7:AC56)</f>
        <v>0</v>
      </c>
      <c r="F13" s="39"/>
      <c r="G13" s="39">
        <f>SUM(O31:O50)</f>
        <v>0</v>
      </c>
      <c r="H13" s="39"/>
      <c r="I13" s="39">
        <f>E13-G13</f>
        <v>0</v>
      </c>
      <c r="J13" s="39"/>
      <c r="K13" s="39"/>
      <c r="L13" s="1"/>
      <c r="M13" s="1"/>
      <c r="N13" s="1"/>
      <c r="O13" s="1"/>
      <c r="P13" s="1"/>
    </row>
    <row r="14" spans="1:16" ht="22.9" customHeight="1">
      <c r="A14" s="37" t="s">
        <v>23</v>
      </c>
      <c r="B14" s="37"/>
      <c r="C14" s="37"/>
      <c r="D14" s="37"/>
      <c r="E14" s="39">
        <f>SUM(Checks!AD7:AD56)</f>
        <v>0</v>
      </c>
      <c r="F14" s="39"/>
      <c r="G14" s="39">
        <f>SUM(P31:P50)</f>
        <v>0</v>
      </c>
      <c r="H14" s="39"/>
      <c r="I14" s="39">
        <f>E14+G14</f>
        <v>0</v>
      </c>
      <c r="J14" s="39"/>
      <c r="K14" s="39"/>
      <c r="L14" s="1"/>
      <c r="M14" s="1"/>
      <c r="N14" s="1"/>
      <c r="O14" s="1"/>
      <c r="P14" s="1"/>
    </row>
    <row r="15" spans="1:16" ht="22.9" customHeight="1">
      <c r="A15" s="1"/>
      <c r="B15" s="1"/>
      <c r="C15" s="1"/>
      <c r="D15" s="1"/>
      <c r="E15" s="1"/>
      <c r="F15" s="1"/>
      <c r="G15" s="1"/>
      <c r="H15" s="1"/>
      <c r="I15" s="1"/>
      <c r="J15" s="1"/>
      <c r="K15" s="1"/>
      <c r="L15" s="1"/>
      <c r="M15" s="1"/>
      <c r="N15" s="1"/>
      <c r="O15" s="1"/>
      <c r="P15" s="1"/>
    </row>
    <row r="16" spans="1:16" ht="22.9" customHeight="1">
      <c r="A16" s="33" t="str">
        <f>IF(OR(COUNTIF(L31:L50,"Complete approved demand")&gt;0,COUNTIF(L31:L50,"Duplicate overlap — counted")&gt;0,COUNTIF(L31:L50,"Fix demand type")&gt;0),"Resolve incomplete demands or duplicate overlap claims before relying on coverage.",IF(AND(SUM(Checks!M7:M56)=0,COUNTIF(L31:L50,"Count as extra demand")=0),"No eligible live supply or approved live demand. Examples do not fund the plan.",IF(AND(I11&gt;=0,I12&gt;=0,I13&gt;=0),"Recurring resource totals balance. Confirm skill, timing and separate one-time funding.","Resource gap: inspect business hours, specialist hours and cash separately.")))</f>
        <v>No eligible live supply or approved live demand. Examples do not fund the plan.</v>
      </c>
      <c r="B16" s="33"/>
      <c r="C16" s="33"/>
      <c r="D16" s="33"/>
      <c r="E16" s="33"/>
      <c r="F16" s="33"/>
      <c r="G16" s="33"/>
      <c r="H16" s="33"/>
      <c r="I16" s="33"/>
      <c r="J16" s="33"/>
      <c r="K16" s="33"/>
      <c r="L16" s="1"/>
      <c r="M16" s="1"/>
      <c r="N16" s="1"/>
      <c r="O16" s="1"/>
      <c r="P16" s="1"/>
    </row>
    <row r="17" spans="1:16" ht="22.9" customHeight="1">
      <c r="A17" s="33"/>
      <c r="B17" s="33"/>
      <c r="C17" s="33"/>
      <c r="D17" s="33"/>
      <c r="E17" s="33"/>
      <c r="F17" s="33"/>
      <c r="G17" s="33"/>
      <c r="H17" s="33"/>
      <c r="I17" s="33"/>
      <c r="J17" s="33"/>
      <c r="K17" s="33"/>
      <c r="L17" s="1"/>
      <c r="M17" s="1"/>
      <c r="N17" s="1"/>
      <c r="O17" s="1"/>
      <c r="P17" s="1"/>
    </row>
    <row r="18" spans="1:16" ht="22.9" customHeight="1">
      <c r="A18" s="33"/>
      <c r="B18" s="33"/>
      <c r="C18" s="33"/>
      <c r="D18" s="33"/>
      <c r="E18" s="33"/>
      <c r="F18" s="33"/>
      <c r="G18" s="33"/>
      <c r="H18" s="33"/>
      <c r="I18" s="33"/>
      <c r="J18" s="33"/>
      <c r="K18" s="33"/>
      <c r="L18" s="1"/>
      <c r="M18" s="1"/>
      <c r="N18" s="1"/>
      <c r="O18" s="1"/>
      <c r="P18" s="1"/>
    </row>
    <row r="19" spans="1:16" ht="22.9" customHeight="1">
      <c r="A19" s="1"/>
      <c r="B19" s="1"/>
      <c r="C19" s="1"/>
      <c r="D19" s="1"/>
      <c r="E19" s="1"/>
      <c r="F19" s="1"/>
      <c r="G19" s="1"/>
      <c r="H19" s="1"/>
      <c r="I19" s="1"/>
      <c r="J19" s="1"/>
      <c r="K19" s="1"/>
      <c r="L19" s="1"/>
      <c r="M19" s="1"/>
      <c r="N19" s="1"/>
      <c r="O19" s="1"/>
      <c r="P19" s="1"/>
    </row>
    <row r="20" spans="1:16" ht="22.9" customHeight="1">
      <c r="A20" s="21" t="s">
        <v>239</v>
      </c>
      <c r="B20" s="21"/>
      <c r="C20" s="21"/>
      <c r="D20" s="21"/>
      <c r="E20" s="21"/>
      <c r="F20" s="21"/>
      <c r="G20" s="21"/>
      <c r="H20" s="21"/>
      <c r="I20" s="21"/>
      <c r="J20" s="21"/>
      <c r="K20" s="21"/>
      <c r="L20" s="1"/>
      <c r="M20" s="1"/>
      <c r="N20" s="1"/>
      <c r="O20" s="1"/>
      <c r="P20" s="1"/>
    </row>
    <row r="21" spans="1:16" ht="22.9" customHeight="1">
      <c r="A21" s="21"/>
      <c r="B21" s="21"/>
      <c r="C21" s="21"/>
      <c r="D21" s="21"/>
      <c r="E21" s="21"/>
      <c r="F21" s="21"/>
      <c r="G21" s="21"/>
      <c r="H21" s="21"/>
      <c r="I21" s="21"/>
      <c r="J21" s="21"/>
      <c r="K21" s="21"/>
      <c r="L21" s="1"/>
      <c r="M21" s="1"/>
      <c r="N21" s="1"/>
      <c r="O21" s="1"/>
      <c r="P21" s="1"/>
    </row>
    <row r="22" spans="1:16" ht="22.9" customHeight="1">
      <c r="A22" s="21"/>
      <c r="B22" s="21"/>
      <c r="C22" s="21"/>
      <c r="D22" s="21"/>
      <c r="E22" s="21"/>
      <c r="F22" s="21"/>
      <c r="G22" s="21"/>
      <c r="H22" s="21"/>
      <c r="I22" s="21"/>
      <c r="J22" s="21"/>
      <c r="K22" s="21"/>
      <c r="L22" s="1"/>
      <c r="M22" s="1"/>
      <c r="N22" s="1"/>
      <c r="O22" s="1"/>
      <c r="P22" s="1"/>
    </row>
    <row r="23" spans="1:16" ht="22.9" customHeight="1">
      <c r="A23" s="21"/>
      <c r="B23" s="21"/>
      <c r="C23" s="21"/>
      <c r="D23" s="21"/>
      <c r="E23" s="21"/>
      <c r="F23" s="21"/>
      <c r="G23" s="21"/>
      <c r="H23" s="21"/>
      <c r="I23" s="21"/>
      <c r="J23" s="21"/>
      <c r="K23" s="21"/>
      <c r="L23" s="1"/>
      <c r="M23" s="1"/>
      <c r="N23" s="1"/>
      <c r="O23" s="1"/>
      <c r="P23" s="1"/>
    </row>
    <row r="24" spans="1:16" ht="22.9" customHeight="1">
      <c r="A24" s="1"/>
      <c r="B24" s="1"/>
      <c r="C24" s="1"/>
      <c r="D24" s="1"/>
      <c r="E24" s="1"/>
      <c r="F24" s="1"/>
      <c r="G24" s="1"/>
      <c r="H24" s="1"/>
      <c r="I24" s="1"/>
      <c r="J24" s="1"/>
      <c r="K24" s="1"/>
      <c r="L24" s="1"/>
      <c r="M24" s="1"/>
      <c r="N24" s="1"/>
      <c r="O24" s="1"/>
      <c r="P24" s="1"/>
    </row>
    <row r="25" spans="1:16" ht="22.9" customHeight="1">
      <c r="A25" s="1" t="str">
        <f>IFERROR(HYPERLINK("#'Reinvestment'!A30","Enter / review demands below ↓"),"Enter / review demands below ↓")</f>
        <v>Enter / review demands below ↓</v>
      </c>
      <c r="B25" s="1"/>
      <c r="C25" s="1"/>
      <c r="D25" s="1"/>
      <c r="E25" s="1"/>
      <c r="F25" s="1"/>
      <c r="G25" s="1"/>
      <c r="H25" s="1"/>
      <c r="I25" s="1"/>
      <c r="J25" s="1"/>
      <c r="K25" s="1"/>
      <c r="L25" s="1"/>
      <c r="M25" s="1"/>
      <c r="N25" s="1"/>
      <c r="O25" s="1"/>
      <c r="P25" s="1"/>
    </row>
    <row r="26" spans="1:16" ht="22.9" customHeight="1">
      <c r="A26" s="1"/>
      <c r="B26" s="1"/>
      <c r="C26" s="1"/>
      <c r="D26" s="1"/>
      <c r="E26" s="1"/>
      <c r="F26" s="1"/>
      <c r="G26" s="1"/>
      <c r="H26" s="1"/>
      <c r="I26" s="1"/>
      <c r="J26" s="1"/>
      <c r="K26" s="1"/>
      <c r="L26" s="1"/>
      <c r="M26" s="1"/>
      <c r="N26" s="1"/>
      <c r="O26" s="1"/>
      <c r="P26" s="1"/>
    </row>
    <row r="27" spans="1:16" ht="22.9" customHeight="1">
      <c r="A27" s="1"/>
      <c r="B27" s="1"/>
      <c r="C27" s="1"/>
      <c r="D27" s="1"/>
      <c r="E27" s="1"/>
      <c r="F27" s="1"/>
      <c r="G27" s="1"/>
      <c r="H27" s="1"/>
      <c r="I27" s="1"/>
      <c r="J27" s="1"/>
      <c r="K27" s="1"/>
      <c r="L27" s="1"/>
      <c r="M27" s="1"/>
      <c r="N27" s="1"/>
      <c r="O27" s="1"/>
      <c r="P27" s="1"/>
    </row>
    <row r="28" spans="1:16" ht="22.9" customHeight="1">
      <c r="A28" s="1"/>
      <c r="B28" s="1"/>
      <c r="C28" s="1"/>
      <c r="D28" s="1"/>
      <c r="E28" s="1"/>
      <c r="F28" s="1"/>
      <c r="G28" s="1"/>
      <c r="H28" s="1"/>
      <c r="I28" s="1"/>
      <c r="J28" s="1"/>
      <c r="K28" s="1"/>
      <c r="L28" s="1"/>
      <c r="M28" s="1"/>
      <c r="N28" s="1"/>
      <c r="O28" s="1"/>
      <c r="P28" s="1"/>
    </row>
    <row r="29" spans="1:16" ht="22.9" customHeight="1">
      <c r="A29" s="1"/>
      <c r="B29" s="1"/>
      <c r="C29" s="1"/>
      <c r="D29" s="1"/>
      <c r="E29" s="1"/>
      <c r="F29" s="1"/>
      <c r="G29" s="1"/>
      <c r="H29" s="1"/>
      <c r="I29" s="1"/>
      <c r="J29" s="1"/>
      <c r="K29" s="1"/>
      <c r="L29" s="1"/>
      <c r="M29" s="1"/>
      <c r="N29" s="1"/>
      <c r="O29" s="1"/>
      <c r="P29" s="1"/>
    </row>
    <row r="30" spans="1:16" ht="49.9" customHeight="1">
      <c r="A30" s="10" t="s">
        <v>240</v>
      </c>
      <c r="B30" s="10" t="s">
        <v>241</v>
      </c>
      <c r="C30" s="10" t="s">
        <v>242</v>
      </c>
      <c r="D30" s="10" t="s">
        <v>52</v>
      </c>
      <c r="E30" s="10" t="s">
        <v>156</v>
      </c>
      <c r="F30" s="10" t="s">
        <v>157</v>
      </c>
      <c r="G30" s="10" t="s">
        <v>153</v>
      </c>
      <c r="H30" s="10" t="s">
        <v>176</v>
      </c>
      <c r="I30" s="10" t="s">
        <v>243</v>
      </c>
      <c r="J30" s="10" t="s">
        <v>244</v>
      </c>
      <c r="K30" s="10" t="s">
        <v>245</v>
      </c>
      <c r="L30" s="10" t="s">
        <v>246</v>
      </c>
      <c r="M30" s="10" t="s">
        <v>247</v>
      </c>
      <c r="N30" s="10" t="s">
        <v>248</v>
      </c>
      <c r="O30" s="10" t="s">
        <v>249</v>
      </c>
      <c r="P30" s="10" t="s">
        <v>250</v>
      </c>
    </row>
    <row r="31" spans="1:16" ht="55.15" customHeight="1">
      <c r="A31" s="7" t="s">
        <v>251</v>
      </c>
      <c r="B31" s="9" t="s">
        <v>67</v>
      </c>
      <c r="C31" s="9" t="s">
        <v>252</v>
      </c>
      <c r="D31" s="9" t="s">
        <v>253</v>
      </c>
      <c r="E31" s="9">
        <v>0</v>
      </c>
      <c r="F31" s="9">
        <v>240</v>
      </c>
      <c r="G31" s="9">
        <v>5000</v>
      </c>
      <c r="H31" s="9">
        <v>5000</v>
      </c>
      <c r="I31" s="9"/>
      <c r="J31" s="9" t="s">
        <v>254</v>
      </c>
      <c r="K31" s="9" t="s">
        <v>255</v>
      </c>
      <c r="L31" s="7" t="str">
        <f>IF(B31="Inactive","Unused",IF(B31="Example","Example only",IF(B31&lt;&gt;"Live","Fix demand type",IF(D31&lt;&gt;"Approved","Not approved",IF(NOT(AND(LEN(TRIM(C31))&gt;0,COUNT(E31:H31)=4,MIN(E31:H31)&gt;=0,OR(J31="Yes",J31="No"),LEN(TRIM(K31))&gt;0,COUNTIF($A$31:$A$50,A31)=1)),"Complete approved demand",IF(AND(J31="Yes",COUNTIFS($I$31:$I$50,I31,$J$31:$J$50,"Yes",$B$31:$B$50,"Live",$D$31:$D$50,"Approved")&gt;1),"Duplicate overlap — counted",IF(AND(J31="Yes",AND(LEN(TRIM(I31))&gt;0,COUNTIF(Checks!$A$7:$A$56,$I31)=1,IFERROR(INDEX(Checks!$M$7:$M$56,MATCH($I31,Checks!$A$7:$A$56,0)),"")=1)),"Included in eligible case","Count as extra demand")))))))</f>
        <v>Example only</v>
      </c>
      <c r="M31" s="7">
        <f t="shared" ref="M31:M50" si="0">IF(OR(L31="Count as extra demand",L31="Duplicate overlap — counted"),E31,0)</f>
        <v>0</v>
      </c>
      <c r="N31" s="7">
        <f t="shared" ref="N31:N50" si="1">IF(OR(L31="Count as extra demand",L31="Duplicate overlap — counted"),F31,0)</f>
        <v>0</v>
      </c>
      <c r="O31" s="7">
        <f t="shared" ref="O31:O50" si="2">IF(OR(L31="Count as extra demand",L31="Duplicate overlap — counted"),G31,0)</f>
        <v>0</v>
      </c>
      <c r="P31" s="7">
        <f t="shared" ref="P31:P50" si="3">IF(OR(L31="Count as extra demand",L31="Duplicate overlap — counted"),H31,0)</f>
        <v>0</v>
      </c>
    </row>
    <row r="32" spans="1:16" ht="55.15" customHeight="1">
      <c r="A32" s="7" t="s">
        <v>256</v>
      </c>
      <c r="B32" s="9" t="s">
        <v>67</v>
      </c>
      <c r="C32" s="9" t="s">
        <v>257</v>
      </c>
      <c r="D32" s="9" t="s">
        <v>253</v>
      </c>
      <c r="E32" s="9">
        <v>100</v>
      </c>
      <c r="F32" s="9">
        <v>240</v>
      </c>
      <c r="G32" s="9">
        <v>20000</v>
      </c>
      <c r="H32" s="9">
        <v>10000</v>
      </c>
      <c r="I32" s="9"/>
      <c r="J32" s="9" t="s">
        <v>254</v>
      </c>
      <c r="K32" s="9" t="s">
        <v>258</v>
      </c>
      <c r="L32" s="7" t="str">
        <f>IF(B32="Inactive","Unused",IF(B32="Example","Example only",IF(B32&lt;&gt;"Live","Fix demand type",IF(D32&lt;&gt;"Approved","Not approved",IF(NOT(AND(LEN(TRIM(C32))&gt;0,COUNT(E32:H32)=4,MIN(E32:H32)&gt;=0,OR(J32="Yes",J32="No"),LEN(TRIM(K32))&gt;0,COUNTIF($A$31:$A$50,A32)=1)),"Complete approved demand",IF(AND(J32="Yes",COUNTIFS($I$31:$I$50,I32,$J$31:$J$50,"Yes",$B$31:$B$50,"Live",$D$31:$D$50,"Approved")&gt;1),"Duplicate overlap — counted",IF(AND(J32="Yes",AND(LEN(TRIM(I32))&gt;0,COUNTIF(Checks!$A$7:$A$56,$I32)=1,IFERROR(INDEX(Checks!$M$7:$M$56,MATCH($I32,Checks!$A$7:$A$56,0)),"")=1)),"Included in eligible case","Count as extra demand")))))))</f>
        <v>Example only</v>
      </c>
      <c r="M32" s="7">
        <f t="shared" si="0"/>
        <v>0</v>
      </c>
      <c r="N32" s="7">
        <f t="shared" si="1"/>
        <v>0</v>
      </c>
      <c r="O32" s="7">
        <f t="shared" si="2"/>
        <v>0</v>
      </c>
      <c r="P32" s="7">
        <f t="shared" si="3"/>
        <v>0</v>
      </c>
    </row>
    <row r="33" spans="1:16" ht="55.15" customHeight="1">
      <c r="A33" s="7" t="s">
        <v>259</v>
      </c>
      <c r="B33" s="9" t="s">
        <v>67</v>
      </c>
      <c r="C33" s="9" t="s">
        <v>260</v>
      </c>
      <c r="D33" s="9" t="s">
        <v>253</v>
      </c>
      <c r="E33" s="9">
        <v>0</v>
      </c>
      <c r="F33" s="9">
        <v>160</v>
      </c>
      <c r="G33" s="9">
        <v>10000</v>
      </c>
      <c r="H33" s="9">
        <v>3000</v>
      </c>
      <c r="I33" s="9"/>
      <c r="J33" s="9" t="s">
        <v>254</v>
      </c>
      <c r="K33" s="9" t="s">
        <v>261</v>
      </c>
      <c r="L33" s="7" t="str">
        <f>IF(B33="Inactive","Unused",IF(B33="Example","Example only",IF(B33&lt;&gt;"Live","Fix demand type",IF(D33&lt;&gt;"Approved","Not approved",IF(NOT(AND(LEN(TRIM(C33))&gt;0,COUNT(E33:H33)=4,MIN(E33:H33)&gt;=0,OR(J33="Yes",J33="No"),LEN(TRIM(K33))&gt;0,COUNTIF($A$31:$A$50,A33)=1)),"Complete approved demand",IF(AND(J33="Yes",COUNTIFS($I$31:$I$50,I33,$J$31:$J$50,"Yes",$B$31:$B$50,"Live",$D$31:$D$50,"Approved")&gt;1),"Duplicate overlap — counted",IF(AND(J33="Yes",AND(LEN(TRIM(I33))&gt;0,COUNTIF(Checks!$A$7:$A$56,$I33)=1,IFERROR(INDEX(Checks!$M$7:$M$56,MATCH($I33,Checks!$A$7:$A$56,0)),"")=1)),"Included in eligible case","Count as extra demand")))))))</f>
        <v>Example only</v>
      </c>
      <c r="M33" s="7">
        <f t="shared" si="0"/>
        <v>0</v>
      </c>
      <c r="N33" s="7">
        <f t="shared" si="1"/>
        <v>0</v>
      </c>
      <c r="O33" s="7">
        <f t="shared" si="2"/>
        <v>0</v>
      </c>
      <c r="P33" s="7">
        <f t="shared" si="3"/>
        <v>0</v>
      </c>
    </row>
    <row r="34" spans="1:16" ht="55.15" customHeight="1">
      <c r="A34" s="7" t="s">
        <v>262</v>
      </c>
      <c r="B34" s="9" t="s">
        <v>67</v>
      </c>
      <c r="C34" s="9" t="s">
        <v>263</v>
      </c>
      <c r="D34" s="9" t="s">
        <v>253</v>
      </c>
      <c r="E34" s="9">
        <v>0</v>
      </c>
      <c r="F34" s="9">
        <v>40</v>
      </c>
      <c r="G34" s="9">
        <v>15000</v>
      </c>
      <c r="H34" s="9">
        <v>25000</v>
      </c>
      <c r="I34" s="9" t="s">
        <v>82</v>
      </c>
      <c r="J34" s="9" t="s">
        <v>264</v>
      </c>
      <c r="K34" s="9" t="s">
        <v>265</v>
      </c>
      <c r="L34" s="7" t="str">
        <f>IF(B34="Inactive","Unused",IF(B34="Example","Example only",IF(B34&lt;&gt;"Live","Fix demand type",IF(D34&lt;&gt;"Approved","Not approved",IF(NOT(AND(LEN(TRIM(C34))&gt;0,COUNT(E34:H34)=4,MIN(E34:H34)&gt;=0,OR(J34="Yes",J34="No"),LEN(TRIM(K34))&gt;0,COUNTIF($A$31:$A$50,A34)=1)),"Complete approved demand",IF(AND(J34="Yes",COUNTIFS($I$31:$I$50,I34,$J$31:$J$50,"Yes",$B$31:$B$50,"Live",$D$31:$D$50,"Approved")&gt;1),"Duplicate overlap — counted",IF(AND(J34="Yes",AND(LEN(TRIM(I34))&gt;0,COUNTIF(Checks!$A$7:$A$56,$I34)=1,IFERROR(INDEX(Checks!$M$7:$M$56,MATCH($I34,Checks!$A$7:$A$56,0)),"")=1)),"Included in eligible case","Count as extra demand")))))))</f>
        <v>Example only</v>
      </c>
      <c r="M34" s="7">
        <f t="shared" si="0"/>
        <v>0</v>
      </c>
      <c r="N34" s="7">
        <f t="shared" si="1"/>
        <v>0</v>
      </c>
      <c r="O34" s="7">
        <f t="shared" si="2"/>
        <v>0</v>
      </c>
      <c r="P34" s="7">
        <f t="shared" si="3"/>
        <v>0</v>
      </c>
    </row>
    <row r="35" spans="1:16" ht="55.15" customHeight="1">
      <c r="A35" s="7" t="s">
        <v>266</v>
      </c>
      <c r="B35" s="9" t="s">
        <v>67</v>
      </c>
      <c r="C35" s="9" t="s">
        <v>267</v>
      </c>
      <c r="D35" s="9" t="s">
        <v>253</v>
      </c>
      <c r="E35" s="9">
        <v>100</v>
      </c>
      <c r="F35" s="9">
        <v>220</v>
      </c>
      <c r="G35" s="9">
        <v>17000</v>
      </c>
      <c r="H35" s="9">
        <v>5000</v>
      </c>
      <c r="I35" s="9"/>
      <c r="J35" s="9" t="s">
        <v>254</v>
      </c>
      <c r="K35" s="9" t="s">
        <v>268</v>
      </c>
      <c r="L35" s="7" t="str">
        <f>IF(B35="Inactive","Unused",IF(B35="Example","Example only",IF(B35&lt;&gt;"Live","Fix demand type",IF(D35&lt;&gt;"Approved","Not approved",IF(NOT(AND(LEN(TRIM(C35))&gt;0,COUNT(E35:H35)=4,MIN(E35:H35)&gt;=0,OR(J35="Yes",J35="No"),LEN(TRIM(K35))&gt;0,COUNTIF($A$31:$A$50,A35)=1)),"Complete approved demand",IF(AND(J35="Yes",COUNTIFS($I$31:$I$50,I35,$J$31:$J$50,"Yes",$B$31:$B$50,"Live",$D$31:$D$50,"Approved")&gt;1),"Duplicate overlap — counted",IF(AND(J35="Yes",AND(LEN(TRIM(I35))&gt;0,COUNTIF(Checks!$A$7:$A$56,$I35)=1,IFERROR(INDEX(Checks!$M$7:$M$56,MATCH($I35,Checks!$A$7:$A$56,0)),"")=1)),"Included in eligible case","Count as extra demand")))))))</f>
        <v>Example only</v>
      </c>
      <c r="M35" s="7">
        <f t="shared" si="0"/>
        <v>0</v>
      </c>
      <c r="N35" s="7">
        <f t="shared" si="1"/>
        <v>0</v>
      </c>
      <c r="O35" s="7">
        <f t="shared" si="2"/>
        <v>0</v>
      </c>
      <c r="P35" s="7">
        <f t="shared" si="3"/>
        <v>0</v>
      </c>
    </row>
    <row r="36" spans="1:16" ht="55.15" customHeight="1">
      <c r="A36" s="7" t="s">
        <v>269</v>
      </c>
      <c r="B36" s="9" t="s">
        <v>109</v>
      </c>
      <c r="C36" s="9"/>
      <c r="D36" s="9"/>
      <c r="E36" s="9"/>
      <c r="F36" s="9"/>
      <c r="G36" s="9"/>
      <c r="H36" s="9"/>
      <c r="I36" s="9"/>
      <c r="J36" s="9"/>
      <c r="K36" s="9"/>
      <c r="L36" s="7" t="str">
        <f>IF(B36="Inactive","Unused",IF(B36="Example","Example only",IF(B36&lt;&gt;"Live","Fix demand type",IF(D36&lt;&gt;"Approved","Not approved",IF(NOT(AND(LEN(TRIM(C36))&gt;0,COUNT(E36:H36)=4,MIN(E36:H36)&gt;=0,OR(J36="Yes",J36="No"),LEN(TRIM(K36))&gt;0,COUNTIF($A$31:$A$50,A36)=1)),"Complete approved demand",IF(AND(J36="Yes",COUNTIFS($I$31:$I$50,I36,$J$31:$J$50,"Yes",$B$31:$B$50,"Live",$D$31:$D$50,"Approved")&gt;1),"Duplicate overlap — counted",IF(AND(J36="Yes",AND(LEN(TRIM(I36))&gt;0,COUNTIF(Checks!$A$7:$A$56,$I36)=1,IFERROR(INDEX(Checks!$M$7:$M$56,MATCH($I36,Checks!$A$7:$A$56,0)),"")=1)),"Included in eligible case","Count as extra demand")))))))</f>
        <v>Unused</v>
      </c>
      <c r="M36" s="7">
        <f t="shared" si="0"/>
        <v>0</v>
      </c>
      <c r="N36" s="7">
        <f t="shared" si="1"/>
        <v>0</v>
      </c>
      <c r="O36" s="7">
        <f t="shared" si="2"/>
        <v>0</v>
      </c>
      <c r="P36" s="7">
        <f t="shared" si="3"/>
        <v>0</v>
      </c>
    </row>
    <row r="37" spans="1:16" ht="55.15" customHeight="1">
      <c r="A37" s="7" t="s">
        <v>270</v>
      </c>
      <c r="B37" s="9" t="s">
        <v>109</v>
      </c>
      <c r="C37" s="9"/>
      <c r="D37" s="9"/>
      <c r="E37" s="9"/>
      <c r="F37" s="9"/>
      <c r="G37" s="9"/>
      <c r="H37" s="9"/>
      <c r="I37" s="9"/>
      <c r="J37" s="9"/>
      <c r="K37" s="9"/>
      <c r="L37" s="7" t="str">
        <f>IF(B37="Inactive","Unused",IF(B37="Example","Example only",IF(B37&lt;&gt;"Live","Fix demand type",IF(D37&lt;&gt;"Approved","Not approved",IF(NOT(AND(LEN(TRIM(C37))&gt;0,COUNT(E37:H37)=4,MIN(E37:H37)&gt;=0,OR(J37="Yes",J37="No"),LEN(TRIM(K37))&gt;0,COUNTIF($A$31:$A$50,A37)=1)),"Complete approved demand",IF(AND(J37="Yes",COUNTIFS($I$31:$I$50,I37,$J$31:$J$50,"Yes",$B$31:$B$50,"Live",$D$31:$D$50,"Approved")&gt;1),"Duplicate overlap — counted",IF(AND(J37="Yes",AND(LEN(TRIM(I37))&gt;0,COUNTIF(Checks!$A$7:$A$56,$I37)=1,IFERROR(INDEX(Checks!$M$7:$M$56,MATCH($I37,Checks!$A$7:$A$56,0)),"")=1)),"Included in eligible case","Count as extra demand")))))))</f>
        <v>Unused</v>
      </c>
      <c r="M37" s="7">
        <f t="shared" si="0"/>
        <v>0</v>
      </c>
      <c r="N37" s="7">
        <f t="shared" si="1"/>
        <v>0</v>
      </c>
      <c r="O37" s="7">
        <f t="shared" si="2"/>
        <v>0</v>
      </c>
      <c r="P37" s="7">
        <f t="shared" si="3"/>
        <v>0</v>
      </c>
    </row>
    <row r="38" spans="1:16" ht="55.15" customHeight="1">
      <c r="A38" s="7" t="s">
        <v>271</v>
      </c>
      <c r="B38" s="9" t="s">
        <v>109</v>
      </c>
      <c r="C38" s="9"/>
      <c r="D38" s="9"/>
      <c r="E38" s="9"/>
      <c r="F38" s="9"/>
      <c r="G38" s="9"/>
      <c r="H38" s="9"/>
      <c r="I38" s="9"/>
      <c r="J38" s="9"/>
      <c r="K38" s="9"/>
      <c r="L38" s="7" t="str">
        <f>IF(B38="Inactive","Unused",IF(B38="Example","Example only",IF(B38&lt;&gt;"Live","Fix demand type",IF(D38&lt;&gt;"Approved","Not approved",IF(NOT(AND(LEN(TRIM(C38))&gt;0,COUNT(E38:H38)=4,MIN(E38:H38)&gt;=0,OR(J38="Yes",J38="No"),LEN(TRIM(K38))&gt;0,COUNTIF($A$31:$A$50,A38)=1)),"Complete approved demand",IF(AND(J38="Yes",COUNTIFS($I$31:$I$50,I38,$J$31:$J$50,"Yes",$B$31:$B$50,"Live",$D$31:$D$50,"Approved")&gt;1),"Duplicate overlap — counted",IF(AND(J38="Yes",AND(LEN(TRIM(I38))&gt;0,COUNTIF(Checks!$A$7:$A$56,$I38)=1,IFERROR(INDEX(Checks!$M$7:$M$56,MATCH($I38,Checks!$A$7:$A$56,0)),"")=1)),"Included in eligible case","Count as extra demand")))))))</f>
        <v>Unused</v>
      </c>
      <c r="M38" s="7">
        <f t="shared" si="0"/>
        <v>0</v>
      </c>
      <c r="N38" s="7">
        <f t="shared" si="1"/>
        <v>0</v>
      </c>
      <c r="O38" s="7">
        <f t="shared" si="2"/>
        <v>0</v>
      </c>
      <c r="P38" s="7">
        <f t="shared" si="3"/>
        <v>0</v>
      </c>
    </row>
    <row r="39" spans="1:16" ht="55.15" customHeight="1">
      <c r="A39" s="7" t="s">
        <v>272</v>
      </c>
      <c r="B39" s="9" t="s">
        <v>109</v>
      </c>
      <c r="C39" s="9"/>
      <c r="D39" s="9"/>
      <c r="E39" s="9"/>
      <c r="F39" s="9"/>
      <c r="G39" s="9"/>
      <c r="H39" s="9"/>
      <c r="I39" s="9"/>
      <c r="J39" s="9"/>
      <c r="K39" s="9"/>
      <c r="L39" s="7" t="str">
        <f>IF(B39="Inactive","Unused",IF(B39="Example","Example only",IF(B39&lt;&gt;"Live","Fix demand type",IF(D39&lt;&gt;"Approved","Not approved",IF(NOT(AND(LEN(TRIM(C39))&gt;0,COUNT(E39:H39)=4,MIN(E39:H39)&gt;=0,OR(J39="Yes",J39="No"),LEN(TRIM(K39))&gt;0,COUNTIF($A$31:$A$50,A39)=1)),"Complete approved demand",IF(AND(J39="Yes",COUNTIFS($I$31:$I$50,I39,$J$31:$J$50,"Yes",$B$31:$B$50,"Live",$D$31:$D$50,"Approved")&gt;1),"Duplicate overlap — counted",IF(AND(J39="Yes",AND(LEN(TRIM(I39))&gt;0,COUNTIF(Checks!$A$7:$A$56,$I39)=1,IFERROR(INDEX(Checks!$M$7:$M$56,MATCH($I39,Checks!$A$7:$A$56,0)),"")=1)),"Included in eligible case","Count as extra demand")))))))</f>
        <v>Unused</v>
      </c>
      <c r="M39" s="7">
        <f t="shared" si="0"/>
        <v>0</v>
      </c>
      <c r="N39" s="7">
        <f t="shared" si="1"/>
        <v>0</v>
      </c>
      <c r="O39" s="7">
        <f t="shared" si="2"/>
        <v>0</v>
      </c>
      <c r="P39" s="7">
        <f t="shared" si="3"/>
        <v>0</v>
      </c>
    </row>
    <row r="40" spans="1:16" ht="55.15" customHeight="1">
      <c r="A40" s="7" t="s">
        <v>273</v>
      </c>
      <c r="B40" s="9" t="s">
        <v>109</v>
      </c>
      <c r="C40" s="9"/>
      <c r="D40" s="9"/>
      <c r="E40" s="9"/>
      <c r="F40" s="9"/>
      <c r="G40" s="9"/>
      <c r="H40" s="9"/>
      <c r="I40" s="9"/>
      <c r="J40" s="9"/>
      <c r="K40" s="9"/>
      <c r="L40" s="7" t="str">
        <f>IF(B40="Inactive","Unused",IF(B40="Example","Example only",IF(B40&lt;&gt;"Live","Fix demand type",IF(D40&lt;&gt;"Approved","Not approved",IF(NOT(AND(LEN(TRIM(C40))&gt;0,COUNT(E40:H40)=4,MIN(E40:H40)&gt;=0,OR(J40="Yes",J40="No"),LEN(TRIM(K40))&gt;0,COUNTIF($A$31:$A$50,A40)=1)),"Complete approved demand",IF(AND(J40="Yes",COUNTIFS($I$31:$I$50,I40,$J$31:$J$50,"Yes",$B$31:$B$50,"Live",$D$31:$D$50,"Approved")&gt;1),"Duplicate overlap — counted",IF(AND(J40="Yes",AND(LEN(TRIM(I40))&gt;0,COUNTIF(Checks!$A$7:$A$56,$I40)=1,IFERROR(INDEX(Checks!$M$7:$M$56,MATCH($I40,Checks!$A$7:$A$56,0)),"")=1)),"Included in eligible case","Count as extra demand")))))))</f>
        <v>Unused</v>
      </c>
      <c r="M40" s="7">
        <f t="shared" si="0"/>
        <v>0</v>
      </c>
      <c r="N40" s="7">
        <f t="shared" si="1"/>
        <v>0</v>
      </c>
      <c r="O40" s="7">
        <f t="shared" si="2"/>
        <v>0</v>
      </c>
      <c r="P40" s="7">
        <f t="shared" si="3"/>
        <v>0</v>
      </c>
    </row>
    <row r="41" spans="1:16" ht="55.15" customHeight="1">
      <c r="A41" s="7" t="s">
        <v>274</v>
      </c>
      <c r="B41" s="9" t="s">
        <v>109</v>
      </c>
      <c r="C41" s="9"/>
      <c r="D41" s="9"/>
      <c r="E41" s="9"/>
      <c r="F41" s="9"/>
      <c r="G41" s="9"/>
      <c r="H41" s="9"/>
      <c r="I41" s="9"/>
      <c r="J41" s="9"/>
      <c r="K41" s="9"/>
      <c r="L41" s="7" t="str">
        <f>IF(B41="Inactive","Unused",IF(B41="Example","Example only",IF(B41&lt;&gt;"Live","Fix demand type",IF(D41&lt;&gt;"Approved","Not approved",IF(NOT(AND(LEN(TRIM(C41))&gt;0,COUNT(E41:H41)=4,MIN(E41:H41)&gt;=0,OR(J41="Yes",J41="No"),LEN(TRIM(K41))&gt;0,COUNTIF($A$31:$A$50,A41)=1)),"Complete approved demand",IF(AND(J41="Yes",COUNTIFS($I$31:$I$50,I41,$J$31:$J$50,"Yes",$B$31:$B$50,"Live",$D$31:$D$50,"Approved")&gt;1),"Duplicate overlap — counted",IF(AND(J41="Yes",AND(LEN(TRIM(I41))&gt;0,COUNTIF(Checks!$A$7:$A$56,$I41)=1,IFERROR(INDEX(Checks!$M$7:$M$56,MATCH($I41,Checks!$A$7:$A$56,0)),"")=1)),"Included in eligible case","Count as extra demand")))))))</f>
        <v>Unused</v>
      </c>
      <c r="M41" s="7">
        <f t="shared" si="0"/>
        <v>0</v>
      </c>
      <c r="N41" s="7">
        <f t="shared" si="1"/>
        <v>0</v>
      </c>
      <c r="O41" s="7">
        <f t="shared" si="2"/>
        <v>0</v>
      </c>
      <c r="P41" s="7">
        <f t="shared" si="3"/>
        <v>0</v>
      </c>
    </row>
    <row r="42" spans="1:16" ht="55.15" customHeight="1">
      <c r="A42" s="7" t="s">
        <v>275</v>
      </c>
      <c r="B42" s="9" t="s">
        <v>109</v>
      </c>
      <c r="C42" s="9"/>
      <c r="D42" s="9"/>
      <c r="E42" s="9"/>
      <c r="F42" s="9"/>
      <c r="G42" s="9"/>
      <c r="H42" s="9"/>
      <c r="I42" s="9"/>
      <c r="J42" s="9"/>
      <c r="K42" s="9"/>
      <c r="L42" s="7" t="str">
        <f>IF(B42="Inactive","Unused",IF(B42="Example","Example only",IF(B42&lt;&gt;"Live","Fix demand type",IF(D42&lt;&gt;"Approved","Not approved",IF(NOT(AND(LEN(TRIM(C42))&gt;0,COUNT(E42:H42)=4,MIN(E42:H42)&gt;=0,OR(J42="Yes",J42="No"),LEN(TRIM(K42))&gt;0,COUNTIF($A$31:$A$50,A42)=1)),"Complete approved demand",IF(AND(J42="Yes",COUNTIFS($I$31:$I$50,I42,$J$31:$J$50,"Yes",$B$31:$B$50,"Live",$D$31:$D$50,"Approved")&gt;1),"Duplicate overlap — counted",IF(AND(J42="Yes",AND(LEN(TRIM(I42))&gt;0,COUNTIF(Checks!$A$7:$A$56,$I42)=1,IFERROR(INDEX(Checks!$M$7:$M$56,MATCH($I42,Checks!$A$7:$A$56,0)),"")=1)),"Included in eligible case","Count as extra demand")))))))</f>
        <v>Unused</v>
      </c>
      <c r="M42" s="7">
        <f t="shared" si="0"/>
        <v>0</v>
      </c>
      <c r="N42" s="7">
        <f t="shared" si="1"/>
        <v>0</v>
      </c>
      <c r="O42" s="7">
        <f t="shared" si="2"/>
        <v>0</v>
      </c>
      <c r="P42" s="7">
        <f t="shared" si="3"/>
        <v>0</v>
      </c>
    </row>
    <row r="43" spans="1:16" ht="55.15" customHeight="1">
      <c r="A43" s="7" t="s">
        <v>276</v>
      </c>
      <c r="B43" s="9" t="s">
        <v>109</v>
      </c>
      <c r="C43" s="9"/>
      <c r="D43" s="9"/>
      <c r="E43" s="9"/>
      <c r="F43" s="9"/>
      <c r="G43" s="9"/>
      <c r="H43" s="9"/>
      <c r="I43" s="9"/>
      <c r="J43" s="9"/>
      <c r="K43" s="9"/>
      <c r="L43" s="7" t="str">
        <f>IF(B43="Inactive","Unused",IF(B43="Example","Example only",IF(B43&lt;&gt;"Live","Fix demand type",IF(D43&lt;&gt;"Approved","Not approved",IF(NOT(AND(LEN(TRIM(C43))&gt;0,COUNT(E43:H43)=4,MIN(E43:H43)&gt;=0,OR(J43="Yes",J43="No"),LEN(TRIM(K43))&gt;0,COUNTIF($A$31:$A$50,A43)=1)),"Complete approved demand",IF(AND(J43="Yes",COUNTIFS($I$31:$I$50,I43,$J$31:$J$50,"Yes",$B$31:$B$50,"Live",$D$31:$D$50,"Approved")&gt;1),"Duplicate overlap — counted",IF(AND(J43="Yes",AND(LEN(TRIM(I43))&gt;0,COUNTIF(Checks!$A$7:$A$56,$I43)=1,IFERROR(INDEX(Checks!$M$7:$M$56,MATCH($I43,Checks!$A$7:$A$56,0)),"")=1)),"Included in eligible case","Count as extra demand")))))))</f>
        <v>Unused</v>
      </c>
      <c r="M43" s="7">
        <f t="shared" si="0"/>
        <v>0</v>
      </c>
      <c r="N43" s="7">
        <f t="shared" si="1"/>
        <v>0</v>
      </c>
      <c r="O43" s="7">
        <f t="shared" si="2"/>
        <v>0</v>
      </c>
      <c r="P43" s="7">
        <f t="shared" si="3"/>
        <v>0</v>
      </c>
    </row>
    <row r="44" spans="1:16" ht="55.15" customHeight="1">
      <c r="A44" s="7" t="s">
        <v>277</v>
      </c>
      <c r="B44" s="9" t="s">
        <v>109</v>
      </c>
      <c r="C44" s="9"/>
      <c r="D44" s="9"/>
      <c r="E44" s="9"/>
      <c r="F44" s="9"/>
      <c r="G44" s="9"/>
      <c r="H44" s="9"/>
      <c r="I44" s="9"/>
      <c r="J44" s="9"/>
      <c r="K44" s="9"/>
      <c r="L44" s="7" t="str">
        <f>IF(B44="Inactive","Unused",IF(B44="Example","Example only",IF(B44&lt;&gt;"Live","Fix demand type",IF(D44&lt;&gt;"Approved","Not approved",IF(NOT(AND(LEN(TRIM(C44))&gt;0,COUNT(E44:H44)=4,MIN(E44:H44)&gt;=0,OR(J44="Yes",J44="No"),LEN(TRIM(K44))&gt;0,COUNTIF($A$31:$A$50,A44)=1)),"Complete approved demand",IF(AND(J44="Yes",COUNTIFS($I$31:$I$50,I44,$J$31:$J$50,"Yes",$B$31:$B$50,"Live",$D$31:$D$50,"Approved")&gt;1),"Duplicate overlap — counted",IF(AND(J44="Yes",AND(LEN(TRIM(I44))&gt;0,COUNTIF(Checks!$A$7:$A$56,$I44)=1,IFERROR(INDEX(Checks!$M$7:$M$56,MATCH($I44,Checks!$A$7:$A$56,0)),"")=1)),"Included in eligible case","Count as extra demand")))))))</f>
        <v>Unused</v>
      </c>
      <c r="M44" s="7">
        <f t="shared" si="0"/>
        <v>0</v>
      </c>
      <c r="N44" s="7">
        <f t="shared" si="1"/>
        <v>0</v>
      </c>
      <c r="O44" s="7">
        <f t="shared" si="2"/>
        <v>0</v>
      </c>
      <c r="P44" s="7">
        <f t="shared" si="3"/>
        <v>0</v>
      </c>
    </row>
    <row r="45" spans="1:16" ht="55.15" customHeight="1">
      <c r="A45" s="7" t="s">
        <v>278</v>
      </c>
      <c r="B45" s="9" t="s">
        <v>109</v>
      </c>
      <c r="C45" s="9"/>
      <c r="D45" s="9"/>
      <c r="E45" s="9"/>
      <c r="F45" s="9"/>
      <c r="G45" s="9"/>
      <c r="H45" s="9"/>
      <c r="I45" s="9"/>
      <c r="J45" s="9"/>
      <c r="K45" s="9"/>
      <c r="L45" s="7" t="str">
        <f>IF(B45="Inactive","Unused",IF(B45="Example","Example only",IF(B45&lt;&gt;"Live","Fix demand type",IF(D45&lt;&gt;"Approved","Not approved",IF(NOT(AND(LEN(TRIM(C45))&gt;0,COUNT(E45:H45)=4,MIN(E45:H45)&gt;=0,OR(J45="Yes",J45="No"),LEN(TRIM(K45))&gt;0,COUNTIF($A$31:$A$50,A45)=1)),"Complete approved demand",IF(AND(J45="Yes",COUNTIFS($I$31:$I$50,I45,$J$31:$J$50,"Yes",$B$31:$B$50,"Live",$D$31:$D$50,"Approved")&gt;1),"Duplicate overlap — counted",IF(AND(J45="Yes",AND(LEN(TRIM(I45))&gt;0,COUNTIF(Checks!$A$7:$A$56,$I45)=1,IFERROR(INDEX(Checks!$M$7:$M$56,MATCH($I45,Checks!$A$7:$A$56,0)),"")=1)),"Included in eligible case","Count as extra demand")))))))</f>
        <v>Unused</v>
      </c>
      <c r="M45" s="7">
        <f t="shared" si="0"/>
        <v>0</v>
      </c>
      <c r="N45" s="7">
        <f t="shared" si="1"/>
        <v>0</v>
      </c>
      <c r="O45" s="7">
        <f t="shared" si="2"/>
        <v>0</v>
      </c>
      <c r="P45" s="7">
        <f t="shared" si="3"/>
        <v>0</v>
      </c>
    </row>
    <row r="46" spans="1:16" ht="55.15" customHeight="1">
      <c r="A46" s="7" t="s">
        <v>279</v>
      </c>
      <c r="B46" s="9" t="s">
        <v>109</v>
      </c>
      <c r="C46" s="9"/>
      <c r="D46" s="9"/>
      <c r="E46" s="9"/>
      <c r="F46" s="9"/>
      <c r="G46" s="9"/>
      <c r="H46" s="9"/>
      <c r="I46" s="9"/>
      <c r="J46" s="9"/>
      <c r="K46" s="9"/>
      <c r="L46" s="7" t="str">
        <f>IF(B46="Inactive","Unused",IF(B46="Example","Example only",IF(B46&lt;&gt;"Live","Fix demand type",IF(D46&lt;&gt;"Approved","Not approved",IF(NOT(AND(LEN(TRIM(C46))&gt;0,COUNT(E46:H46)=4,MIN(E46:H46)&gt;=0,OR(J46="Yes",J46="No"),LEN(TRIM(K46))&gt;0,COUNTIF($A$31:$A$50,A46)=1)),"Complete approved demand",IF(AND(J46="Yes",COUNTIFS($I$31:$I$50,I46,$J$31:$J$50,"Yes",$B$31:$B$50,"Live",$D$31:$D$50,"Approved")&gt;1),"Duplicate overlap — counted",IF(AND(J46="Yes",AND(LEN(TRIM(I46))&gt;0,COUNTIF(Checks!$A$7:$A$56,$I46)=1,IFERROR(INDEX(Checks!$M$7:$M$56,MATCH($I46,Checks!$A$7:$A$56,0)),"")=1)),"Included in eligible case","Count as extra demand")))))))</f>
        <v>Unused</v>
      </c>
      <c r="M46" s="7">
        <f t="shared" si="0"/>
        <v>0</v>
      </c>
      <c r="N46" s="7">
        <f t="shared" si="1"/>
        <v>0</v>
      </c>
      <c r="O46" s="7">
        <f t="shared" si="2"/>
        <v>0</v>
      </c>
      <c r="P46" s="7">
        <f t="shared" si="3"/>
        <v>0</v>
      </c>
    </row>
    <row r="47" spans="1:16" ht="55.15" customHeight="1">
      <c r="A47" s="7" t="s">
        <v>280</v>
      </c>
      <c r="B47" s="9" t="s">
        <v>109</v>
      </c>
      <c r="C47" s="9"/>
      <c r="D47" s="9"/>
      <c r="E47" s="9"/>
      <c r="F47" s="9"/>
      <c r="G47" s="9"/>
      <c r="H47" s="9"/>
      <c r="I47" s="9"/>
      <c r="J47" s="9"/>
      <c r="K47" s="9"/>
      <c r="L47" s="7" t="str">
        <f>IF(B47="Inactive","Unused",IF(B47="Example","Example only",IF(B47&lt;&gt;"Live","Fix demand type",IF(D47&lt;&gt;"Approved","Not approved",IF(NOT(AND(LEN(TRIM(C47))&gt;0,COUNT(E47:H47)=4,MIN(E47:H47)&gt;=0,OR(J47="Yes",J47="No"),LEN(TRIM(K47))&gt;0,COUNTIF($A$31:$A$50,A47)=1)),"Complete approved demand",IF(AND(J47="Yes",COUNTIFS($I$31:$I$50,I47,$J$31:$J$50,"Yes",$B$31:$B$50,"Live",$D$31:$D$50,"Approved")&gt;1),"Duplicate overlap — counted",IF(AND(J47="Yes",AND(LEN(TRIM(I47))&gt;0,COUNTIF(Checks!$A$7:$A$56,$I47)=1,IFERROR(INDEX(Checks!$M$7:$M$56,MATCH($I47,Checks!$A$7:$A$56,0)),"")=1)),"Included in eligible case","Count as extra demand")))))))</f>
        <v>Unused</v>
      </c>
      <c r="M47" s="7">
        <f t="shared" si="0"/>
        <v>0</v>
      </c>
      <c r="N47" s="7">
        <f t="shared" si="1"/>
        <v>0</v>
      </c>
      <c r="O47" s="7">
        <f t="shared" si="2"/>
        <v>0</v>
      </c>
      <c r="P47" s="7">
        <f t="shared" si="3"/>
        <v>0</v>
      </c>
    </row>
    <row r="48" spans="1:16" ht="55.15" customHeight="1">
      <c r="A48" s="7" t="s">
        <v>281</v>
      </c>
      <c r="B48" s="9" t="s">
        <v>109</v>
      </c>
      <c r="C48" s="9"/>
      <c r="D48" s="9"/>
      <c r="E48" s="9"/>
      <c r="F48" s="9"/>
      <c r="G48" s="9"/>
      <c r="H48" s="9"/>
      <c r="I48" s="9"/>
      <c r="J48" s="9"/>
      <c r="K48" s="9"/>
      <c r="L48" s="7" t="str">
        <f>IF(B48="Inactive","Unused",IF(B48="Example","Example only",IF(B48&lt;&gt;"Live","Fix demand type",IF(D48&lt;&gt;"Approved","Not approved",IF(NOT(AND(LEN(TRIM(C48))&gt;0,COUNT(E48:H48)=4,MIN(E48:H48)&gt;=0,OR(J48="Yes",J48="No"),LEN(TRIM(K48))&gt;0,COUNTIF($A$31:$A$50,A48)=1)),"Complete approved demand",IF(AND(J48="Yes",COUNTIFS($I$31:$I$50,I48,$J$31:$J$50,"Yes",$B$31:$B$50,"Live",$D$31:$D$50,"Approved")&gt;1),"Duplicate overlap — counted",IF(AND(J48="Yes",AND(LEN(TRIM(I48))&gt;0,COUNTIF(Checks!$A$7:$A$56,$I48)=1,IFERROR(INDEX(Checks!$M$7:$M$56,MATCH($I48,Checks!$A$7:$A$56,0)),"")=1)),"Included in eligible case","Count as extra demand")))))))</f>
        <v>Unused</v>
      </c>
      <c r="M48" s="7">
        <f t="shared" si="0"/>
        <v>0</v>
      </c>
      <c r="N48" s="7">
        <f t="shared" si="1"/>
        <v>0</v>
      </c>
      <c r="O48" s="7">
        <f t="shared" si="2"/>
        <v>0</v>
      </c>
      <c r="P48" s="7">
        <f t="shared" si="3"/>
        <v>0</v>
      </c>
    </row>
    <row r="49" spans="1:16" ht="55.15" customHeight="1">
      <c r="A49" s="7" t="s">
        <v>282</v>
      </c>
      <c r="B49" s="9" t="s">
        <v>109</v>
      </c>
      <c r="C49" s="9"/>
      <c r="D49" s="9"/>
      <c r="E49" s="9"/>
      <c r="F49" s="9"/>
      <c r="G49" s="9"/>
      <c r="H49" s="9"/>
      <c r="I49" s="9"/>
      <c r="J49" s="9"/>
      <c r="K49" s="9"/>
      <c r="L49" s="7" t="str">
        <f>IF(B49="Inactive","Unused",IF(B49="Example","Example only",IF(B49&lt;&gt;"Live","Fix demand type",IF(D49&lt;&gt;"Approved","Not approved",IF(NOT(AND(LEN(TRIM(C49))&gt;0,COUNT(E49:H49)=4,MIN(E49:H49)&gt;=0,OR(J49="Yes",J49="No"),LEN(TRIM(K49))&gt;0,COUNTIF($A$31:$A$50,A49)=1)),"Complete approved demand",IF(AND(J49="Yes",COUNTIFS($I$31:$I$50,I49,$J$31:$J$50,"Yes",$B$31:$B$50,"Live",$D$31:$D$50,"Approved")&gt;1),"Duplicate overlap — counted",IF(AND(J49="Yes",AND(LEN(TRIM(I49))&gt;0,COUNTIF(Checks!$A$7:$A$56,$I49)=1,IFERROR(INDEX(Checks!$M$7:$M$56,MATCH($I49,Checks!$A$7:$A$56,0)),"")=1)),"Included in eligible case","Count as extra demand")))))))</f>
        <v>Unused</v>
      </c>
      <c r="M49" s="7">
        <f t="shared" si="0"/>
        <v>0</v>
      </c>
      <c r="N49" s="7">
        <f t="shared" si="1"/>
        <v>0</v>
      </c>
      <c r="O49" s="7">
        <f t="shared" si="2"/>
        <v>0</v>
      </c>
      <c r="P49" s="7">
        <f t="shared" si="3"/>
        <v>0</v>
      </c>
    </row>
    <row r="50" spans="1:16" ht="55.15" customHeight="1">
      <c r="A50" s="7" t="s">
        <v>283</v>
      </c>
      <c r="B50" s="9" t="s">
        <v>109</v>
      </c>
      <c r="C50" s="9"/>
      <c r="D50" s="9"/>
      <c r="E50" s="9"/>
      <c r="F50" s="9"/>
      <c r="G50" s="9"/>
      <c r="H50" s="9"/>
      <c r="I50" s="9"/>
      <c r="J50" s="9"/>
      <c r="K50" s="9"/>
      <c r="L50" s="7" t="str">
        <f>IF(B50="Inactive","Unused",IF(B50="Example","Example only",IF(B50&lt;&gt;"Live","Fix demand type",IF(D50&lt;&gt;"Approved","Not approved",IF(NOT(AND(LEN(TRIM(C50))&gt;0,COUNT(E50:H50)=4,MIN(E50:H50)&gt;=0,OR(J50="Yes",J50="No"),LEN(TRIM(K50))&gt;0,COUNTIF($A$31:$A$50,A50)=1)),"Complete approved demand",IF(AND(J50="Yes",COUNTIFS($I$31:$I$50,I50,$J$31:$J$50,"Yes",$B$31:$B$50,"Live",$D$31:$D$50,"Approved")&gt;1),"Duplicate overlap — counted",IF(AND(J50="Yes",AND(LEN(TRIM(I50))&gt;0,COUNTIF(Checks!$A$7:$A$56,$I50)=1,IFERROR(INDEX(Checks!$M$7:$M$56,MATCH($I50,Checks!$A$7:$A$56,0)),"")=1)),"Included in eligible case","Count as extra demand")))))))</f>
        <v>Unused</v>
      </c>
      <c r="M50" s="7">
        <f t="shared" si="0"/>
        <v>0</v>
      </c>
      <c r="N50" s="7">
        <f t="shared" si="1"/>
        <v>0</v>
      </c>
      <c r="O50" s="7">
        <f t="shared" si="2"/>
        <v>0</v>
      </c>
      <c r="P50" s="7">
        <f t="shared" si="3"/>
        <v>0</v>
      </c>
    </row>
    <row r="51" spans="1:16" ht="22.9" customHeight="1">
      <c r="A51" s="1"/>
      <c r="B51" s="1"/>
      <c r="C51" s="1"/>
      <c r="D51" s="1"/>
      <c r="E51" s="1"/>
      <c r="F51" s="1"/>
      <c r="G51" s="1"/>
      <c r="H51" s="1"/>
      <c r="I51" s="1"/>
      <c r="J51" s="1"/>
      <c r="K51" s="1"/>
      <c r="L51" s="1"/>
      <c r="M51" s="1"/>
      <c r="N51" s="1"/>
      <c r="O51" s="1"/>
      <c r="P51" s="1"/>
    </row>
    <row r="52" spans="1:16" ht="22.9" customHeight="1">
      <c r="A52" s="1"/>
      <c r="B52" s="1"/>
      <c r="C52" s="1"/>
      <c r="D52" s="1"/>
      <c r="E52" s="1"/>
      <c r="F52" s="1"/>
      <c r="G52" s="1"/>
      <c r="H52" s="1"/>
      <c r="I52" s="1"/>
      <c r="J52" s="1"/>
      <c r="K52" s="1"/>
      <c r="L52" s="1"/>
      <c r="M52" s="1"/>
      <c r="N52" s="1"/>
      <c r="O52" s="1"/>
      <c r="P52" s="1"/>
    </row>
    <row r="53" spans="1:16" ht="22.9" customHeight="1">
      <c r="A53" s="1"/>
      <c r="B53" s="1"/>
      <c r="C53" s="1"/>
      <c r="D53" s="1"/>
      <c r="E53" s="1"/>
      <c r="F53" s="1"/>
      <c r="G53" s="1"/>
      <c r="H53" s="1"/>
      <c r="I53" s="1"/>
      <c r="J53" s="1"/>
      <c r="K53" s="1"/>
      <c r="L53" s="1"/>
      <c r="M53" s="1"/>
      <c r="N53" s="1"/>
      <c r="O53" s="1"/>
      <c r="P53" s="1"/>
    </row>
    <row r="54" spans="1:16" ht="22.9" customHeight="1">
      <c r="A54" s="1"/>
      <c r="B54" s="1"/>
      <c r="C54" s="1"/>
      <c r="D54" s="1"/>
      <c r="E54" s="1"/>
      <c r="F54" s="1"/>
      <c r="G54" s="1"/>
      <c r="H54" s="1"/>
      <c r="I54" s="1"/>
      <c r="J54" s="1"/>
      <c r="K54" s="1"/>
      <c r="L54" s="1"/>
      <c r="M54" s="1"/>
      <c r="N54" s="1"/>
      <c r="O54" s="1"/>
      <c r="P54" s="1"/>
    </row>
    <row r="55" spans="1:16" ht="22.9" customHeight="1">
      <c r="A55" s="1"/>
      <c r="B55" s="1"/>
      <c r="C55" s="1"/>
      <c r="D55" s="1"/>
      <c r="E55" s="1"/>
      <c r="F55" s="1"/>
      <c r="G55" s="1"/>
      <c r="H55" s="1"/>
      <c r="I55" s="1"/>
      <c r="J55" s="1"/>
      <c r="K55" s="1"/>
      <c r="L55" s="1"/>
      <c r="M55" s="1"/>
      <c r="N55" s="1"/>
      <c r="O55" s="1"/>
      <c r="P55" s="1"/>
    </row>
    <row r="56" spans="1:16" ht="22.9" customHeight="1">
      <c r="A56" s="1"/>
      <c r="B56" s="1"/>
      <c r="C56" s="1"/>
      <c r="D56" s="1"/>
      <c r="E56" s="1"/>
      <c r="F56" s="1"/>
      <c r="G56" s="1"/>
      <c r="H56" s="1"/>
      <c r="I56" s="1"/>
      <c r="J56" s="1"/>
      <c r="K56" s="1"/>
      <c r="L56" s="1"/>
      <c r="M56" s="1"/>
      <c r="N56" s="1"/>
      <c r="O56" s="1"/>
      <c r="P56" s="1"/>
    </row>
    <row r="57" spans="1:16" ht="22.9" customHeight="1">
      <c r="A57" s="1"/>
      <c r="B57" s="1"/>
      <c r="C57" s="1"/>
      <c r="D57" s="1"/>
      <c r="E57" s="1"/>
      <c r="F57" s="1"/>
      <c r="G57" s="1"/>
      <c r="H57" s="1"/>
      <c r="I57" s="1"/>
      <c r="J57" s="1"/>
      <c r="K57" s="1"/>
      <c r="L57" s="1"/>
      <c r="M57" s="1"/>
      <c r="N57" s="1"/>
      <c r="O57" s="1"/>
      <c r="P57" s="1"/>
    </row>
    <row r="58" spans="1:16" ht="22.9" customHeight="1">
      <c r="A58" s="1"/>
      <c r="B58" s="1"/>
      <c r="C58" s="1"/>
      <c r="D58" s="1"/>
      <c r="E58" s="1"/>
      <c r="F58" s="1"/>
      <c r="G58" s="1"/>
      <c r="H58" s="1"/>
      <c r="I58" s="1"/>
      <c r="J58" s="1"/>
      <c r="K58" s="1"/>
      <c r="L58" s="1"/>
      <c r="M58" s="1"/>
      <c r="N58" s="1"/>
      <c r="O58" s="1"/>
      <c r="P58" s="1"/>
    </row>
    <row r="59" spans="1:16" ht="22.9" customHeight="1">
      <c r="A59" s="1"/>
      <c r="B59" s="1"/>
      <c r="C59" s="1"/>
      <c r="D59" s="1"/>
      <c r="E59" s="1"/>
      <c r="F59" s="1"/>
      <c r="G59" s="1"/>
      <c r="H59" s="1"/>
      <c r="I59" s="1"/>
      <c r="J59" s="1"/>
      <c r="K59" s="1"/>
      <c r="L59" s="1"/>
      <c r="M59" s="1"/>
      <c r="N59" s="1"/>
      <c r="O59" s="1"/>
      <c r="P59" s="1"/>
    </row>
    <row r="60" spans="1:16" ht="22.9" customHeight="1">
      <c r="A60" s="1"/>
      <c r="B60" s="1"/>
      <c r="C60" s="1"/>
      <c r="D60" s="1"/>
      <c r="E60" s="1"/>
      <c r="F60" s="1"/>
      <c r="G60" s="1"/>
      <c r="H60" s="1"/>
      <c r="I60" s="1"/>
      <c r="J60" s="1"/>
      <c r="K60" s="1"/>
      <c r="L60" s="1"/>
      <c r="M60" s="1"/>
      <c r="N60" s="1"/>
      <c r="O60" s="1"/>
      <c r="P60" s="1"/>
    </row>
    <row r="61" spans="1:16" ht="22.9" customHeight="1">
      <c r="A61" s="1"/>
      <c r="B61" s="1"/>
      <c r="C61" s="1"/>
      <c r="D61" s="1"/>
      <c r="E61" s="1"/>
      <c r="F61" s="1"/>
      <c r="G61" s="1"/>
      <c r="H61" s="1"/>
      <c r="I61" s="1"/>
      <c r="J61" s="1"/>
      <c r="K61" s="1"/>
      <c r="L61" s="1"/>
      <c r="M61" s="1"/>
      <c r="N61" s="1"/>
      <c r="O61" s="1"/>
      <c r="P61" s="1"/>
    </row>
    <row r="62" spans="1:16" ht="22.9" customHeight="1">
      <c r="A62" s="1"/>
      <c r="B62" s="1"/>
      <c r="C62" s="1"/>
      <c r="D62" s="1"/>
      <c r="E62" s="1"/>
      <c r="F62" s="1"/>
      <c r="G62" s="1"/>
      <c r="H62" s="1"/>
      <c r="I62" s="1"/>
      <c r="J62" s="1"/>
      <c r="K62" s="1"/>
      <c r="L62" s="1"/>
      <c r="M62" s="1"/>
      <c r="N62" s="1"/>
      <c r="O62" s="1"/>
      <c r="P62" s="1"/>
    </row>
    <row r="63" spans="1:16" ht="22.9" customHeight="1">
      <c r="A63" s="1"/>
      <c r="B63" s="1"/>
      <c r="C63" s="1"/>
      <c r="D63" s="1"/>
      <c r="E63" s="1"/>
      <c r="F63" s="1"/>
      <c r="G63" s="1"/>
      <c r="H63" s="1"/>
      <c r="I63" s="1"/>
      <c r="J63" s="1"/>
      <c r="K63" s="1"/>
      <c r="L63" s="1"/>
      <c r="M63" s="1"/>
      <c r="N63" s="1"/>
      <c r="O63" s="1"/>
      <c r="P63" s="1"/>
    </row>
    <row r="64" spans="1:16" ht="22.9" customHeight="1">
      <c r="A64" s="1"/>
      <c r="B64" s="1"/>
      <c r="C64" s="1"/>
      <c r="D64" s="1"/>
      <c r="E64" s="1"/>
      <c r="F64" s="1"/>
      <c r="G64" s="1"/>
      <c r="H64" s="1"/>
      <c r="I64" s="1"/>
      <c r="J64" s="1"/>
      <c r="K64" s="1"/>
      <c r="L64" s="1"/>
      <c r="M64" s="1"/>
      <c r="N64" s="1"/>
      <c r="O64" s="1"/>
      <c r="P64" s="1"/>
    </row>
    <row r="65" spans="1:16" ht="22.9" customHeight="1">
      <c r="A65" s="1"/>
      <c r="B65" s="1"/>
      <c r="C65" s="1"/>
      <c r="D65" s="1"/>
      <c r="E65" s="1"/>
      <c r="F65" s="1"/>
      <c r="G65" s="1"/>
      <c r="H65" s="1"/>
      <c r="I65" s="1"/>
      <c r="J65" s="1"/>
      <c r="K65" s="1"/>
      <c r="L65" s="1"/>
      <c r="M65" s="1"/>
      <c r="N65" s="1"/>
      <c r="O65" s="1"/>
      <c r="P65" s="1"/>
    </row>
    <row r="66" spans="1:16" ht="22.9" customHeight="1">
      <c r="A66" s="1"/>
      <c r="B66" s="1"/>
      <c r="C66" s="1"/>
      <c r="D66" s="1"/>
      <c r="E66" s="1"/>
      <c r="F66" s="1"/>
      <c r="G66" s="1"/>
      <c r="H66" s="1"/>
      <c r="I66" s="1"/>
      <c r="J66" s="1"/>
      <c r="K66" s="1"/>
      <c r="L66" s="1"/>
      <c r="M66" s="1"/>
      <c r="N66" s="1"/>
      <c r="O66" s="1"/>
      <c r="P66" s="1"/>
    </row>
    <row r="67" spans="1:16" ht="22.9" customHeight="1">
      <c r="A67" s="1"/>
      <c r="B67" s="1"/>
      <c r="C67" s="1"/>
      <c r="D67" s="1"/>
      <c r="E67" s="1"/>
      <c r="F67" s="1"/>
      <c r="G67" s="1"/>
      <c r="H67" s="1"/>
      <c r="I67" s="1"/>
      <c r="J67" s="1"/>
      <c r="K67" s="1"/>
      <c r="L67" s="1"/>
      <c r="M67" s="1"/>
      <c r="N67" s="1"/>
      <c r="O67" s="1"/>
      <c r="P67" s="1"/>
    </row>
    <row r="68" spans="1:16" ht="22.9" customHeight="1">
      <c r="A68" s="1"/>
      <c r="B68" s="1"/>
      <c r="C68" s="1"/>
      <c r="D68" s="1"/>
      <c r="E68" s="1"/>
      <c r="F68" s="1"/>
      <c r="G68" s="1"/>
      <c r="H68" s="1"/>
      <c r="I68" s="1"/>
      <c r="J68" s="1"/>
      <c r="K68" s="1"/>
      <c r="L68" s="1"/>
      <c r="M68" s="1"/>
      <c r="N68" s="1"/>
      <c r="O68" s="1"/>
      <c r="P68" s="1"/>
    </row>
    <row r="69" spans="1:16" ht="22.9" customHeight="1">
      <c r="A69" s="1"/>
      <c r="B69" s="1"/>
      <c r="C69" s="1"/>
      <c r="D69" s="1"/>
      <c r="E69" s="1"/>
      <c r="F69" s="1"/>
      <c r="G69" s="1"/>
      <c r="H69" s="1"/>
      <c r="I69" s="1"/>
      <c r="J69" s="1"/>
      <c r="K69" s="1"/>
      <c r="L69" s="1"/>
      <c r="M69" s="1"/>
      <c r="N69" s="1"/>
      <c r="O69" s="1"/>
      <c r="P69" s="1"/>
    </row>
    <row r="70" spans="1:16" ht="22.9" customHeight="1">
      <c r="A70" s="1"/>
      <c r="B70" s="1"/>
      <c r="C70" s="1"/>
      <c r="D70" s="1"/>
      <c r="E70" s="1"/>
      <c r="F70" s="1"/>
      <c r="G70" s="1"/>
      <c r="H70" s="1"/>
      <c r="I70" s="1"/>
      <c r="J70" s="1"/>
      <c r="K70" s="1"/>
      <c r="L70" s="1"/>
      <c r="M70" s="1"/>
      <c r="N70" s="1"/>
      <c r="O70" s="1"/>
      <c r="P70" s="1"/>
    </row>
    <row r="71" spans="1:16" ht="22.9" customHeight="1">
      <c r="A71" s="1"/>
      <c r="B71" s="1"/>
      <c r="C71" s="1"/>
      <c r="D71" s="1"/>
      <c r="E71" s="1"/>
      <c r="F71" s="1"/>
      <c r="G71" s="1"/>
      <c r="H71" s="1"/>
      <c r="I71" s="1"/>
      <c r="J71" s="1"/>
      <c r="K71" s="1"/>
      <c r="L71" s="1"/>
      <c r="M71" s="1"/>
      <c r="N71" s="1"/>
      <c r="O71" s="1"/>
      <c r="P71" s="1"/>
    </row>
    <row r="72" spans="1:16" ht="22.9" customHeight="1">
      <c r="A72" s="1"/>
      <c r="B72" s="1"/>
      <c r="C72" s="1"/>
      <c r="D72" s="1"/>
      <c r="E72" s="1"/>
      <c r="F72" s="1"/>
      <c r="G72" s="1"/>
      <c r="H72" s="1"/>
      <c r="I72" s="1"/>
      <c r="J72" s="1"/>
      <c r="K72" s="1"/>
      <c r="L72" s="1"/>
      <c r="M72" s="1"/>
      <c r="N72" s="1"/>
      <c r="O72" s="1"/>
      <c r="P72" s="1"/>
    </row>
    <row r="73" spans="1:16" ht="22.9" customHeight="1">
      <c r="A73" s="1"/>
      <c r="B73" s="1"/>
      <c r="C73" s="1"/>
      <c r="D73" s="1"/>
      <c r="E73" s="1"/>
      <c r="F73" s="1"/>
      <c r="G73" s="1"/>
      <c r="H73" s="1"/>
      <c r="I73" s="1"/>
      <c r="J73" s="1"/>
      <c r="K73" s="1"/>
      <c r="L73" s="1"/>
      <c r="M73" s="1"/>
      <c r="N73" s="1"/>
      <c r="O73" s="1"/>
      <c r="P73" s="1"/>
    </row>
    <row r="74" spans="1:16" ht="22.9" customHeight="1">
      <c r="A74" s="1"/>
      <c r="B74" s="1"/>
      <c r="C74" s="1"/>
      <c r="D74" s="1"/>
      <c r="E74" s="1"/>
      <c r="F74" s="1"/>
      <c r="G74" s="1"/>
      <c r="H74" s="1"/>
      <c r="I74" s="1"/>
      <c r="J74" s="1"/>
      <c r="K74" s="1"/>
      <c r="L74" s="1"/>
      <c r="M74" s="1"/>
      <c r="N74" s="1"/>
      <c r="O74" s="1"/>
      <c r="P74" s="1"/>
    </row>
    <row r="75" spans="1:16" ht="22.9" customHeight="1">
      <c r="A75" s="1"/>
      <c r="B75" s="1"/>
      <c r="C75" s="1"/>
      <c r="D75" s="1"/>
      <c r="E75" s="1"/>
      <c r="F75" s="1"/>
      <c r="G75" s="1"/>
      <c r="H75" s="1"/>
      <c r="I75" s="1"/>
      <c r="J75" s="1"/>
      <c r="K75" s="1"/>
      <c r="L75" s="1"/>
      <c r="M75" s="1"/>
      <c r="N75" s="1"/>
      <c r="O75" s="1"/>
      <c r="P75" s="1"/>
    </row>
    <row r="76" spans="1:16" ht="22.9" customHeight="1">
      <c r="A76" s="1"/>
      <c r="B76" s="1"/>
      <c r="C76" s="1"/>
      <c r="D76" s="1"/>
      <c r="E76" s="1"/>
      <c r="F76" s="1"/>
      <c r="G76" s="1"/>
      <c r="H76" s="1"/>
      <c r="I76" s="1"/>
      <c r="J76" s="1"/>
      <c r="K76" s="1"/>
      <c r="L76" s="1"/>
      <c r="M76" s="1"/>
      <c r="N76" s="1"/>
      <c r="O76" s="1"/>
      <c r="P76" s="1"/>
    </row>
    <row r="77" spans="1:16" ht="22.9" customHeight="1">
      <c r="A77" s="1"/>
      <c r="B77" s="1"/>
      <c r="C77" s="1"/>
      <c r="D77" s="1"/>
      <c r="E77" s="1"/>
      <c r="F77" s="1"/>
      <c r="G77" s="1"/>
      <c r="H77" s="1"/>
      <c r="I77" s="1"/>
      <c r="J77" s="1"/>
      <c r="K77" s="1"/>
      <c r="L77" s="1"/>
      <c r="M77" s="1"/>
      <c r="N77" s="1"/>
      <c r="O77" s="1"/>
      <c r="P77" s="1"/>
    </row>
    <row r="78" spans="1:16" ht="22.9" customHeight="1">
      <c r="A78" s="1"/>
      <c r="B78" s="1"/>
      <c r="C78" s="1"/>
      <c r="D78" s="1"/>
      <c r="E78" s="1"/>
      <c r="F78" s="1"/>
      <c r="G78" s="1"/>
      <c r="H78" s="1"/>
      <c r="I78" s="1"/>
      <c r="J78" s="1"/>
      <c r="K78" s="1"/>
      <c r="L78" s="1"/>
      <c r="M78" s="1"/>
      <c r="N78" s="1"/>
      <c r="O78" s="1"/>
      <c r="P78" s="1"/>
    </row>
    <row r="79" spans="1:16" ht="22.9" customHeight="1">
      <c r="A79" s="1"/>
      <c r="B79" s="1"/>
      <c r="C79" s="1"/>
      <c r="D79" s="1"/>
      <c r="E79" s="1"/>
      <c r="F79" s="1"/>
      <c r="G79" s="1"/>
      <c r="H79" s="1"/>
      <c r="I79" s="1"/>
      <c r="J79" s="1"/>
      <c r="K79" s="1"/>
      <c r="L79" s="1"/>
      <c r="M79" s="1"/>
      <c r="N79" s="1"/>
      <c r="O79" s="1"/>
      <c r="P79" s="1"/>
    </row>
    <row r="80" spans="1:16" ht="22.9" customHeight="1">
      <c r="A80" s="1"/>
      <c r="B80" s="1"/>
      <c r="C80" s="1"/>
      <c r="D80" s="1"/>
      <c r="E80" s="1"/>
      <c r="F80" s="1"/>
      <c r="G80" s="1"/>
      <c r="H80" s="1"/>
      <c r="I80" s="1"/>
      <c r="J80" s="1"/>
      <c r="K80" s="1"/>
      <c r="L80" s="1"/>
      <c r="M80" s="1"/>
      <c r="N80" s="1"/>
      <c r="O80" s="1"/>
      <c r="P80" s="1"/>
    </row>
  </sheetData>
  <mergeCells count="26">
    <mergeCell ref="A12:D12"/>
    <mergeCell ref="E12:F12"/>
    <mergeCell ref="G12:H12"/>
    <mergeCell ref="I12:K12"/>
    <mergeCell ref="A7:K7"/>
    <mergeCell ref="C8:F8"/>
    <mergeCell ref="A10:D10"/>
    <mergeCell ref="E10:F10"/>
    <mergeCell ref="G10:H10"/>
    <mergeCell ref="I10:K10"/>
    <mergeCell ref="A16:K18"/>
    <mergeCell ref="A20:K23"/>
    <mergeCell ref="A1:K2"/>
    <mergeCell ref="A3:K4"/>
    <mergeCell ref="A13:D13"/>
    <mergeCell ref="E13:F13"/>
    <mergeCell ref="G13:H13"/>
    <mergeCell ref="I13:K13"/>
    <mergeCell ref="A14:D14"/>
    <mergeCell ref="E14:F14"/>
    <mergeCell ref="G14:H14"/>
    <mergeCell ref="I14:K14"/>
    <mergeCell ref="A11:D11"/>
    <mergeCell ref="E11:F11"/>
    <mergeCell ref="G11:H11"/>
    <mergeCell ref="I11:K11"/>
  </mergeCells>
  <conditionalFormatting sqref="I11:K13">
    <cfRule type="cellIs" dxfId="0" priority="1" operator="lessThan">
      <formula>0</formula>
    </cfRule>
  </conditionalFormatting>
  <dataValidations count="4">
    <dataValidation type="list" allowBlank="1" showInputMessage="1" showErrorMessage="1" errorTitle="Choose a listed value" error="Use the dropdown. Blank means not yet known; it is not approval." promptTitle="Demand type" prompt="Only Live, Approved demands are included." sqref="B31:B50" xr:uid="{00000000-0002-0000-0800-000000000000}">
      <formula1>"Inactive,Example,Live"</formula1>
    </dataValidation>
    <dataValidation type="list" allowBlank="1" showInputMessage="1" showErrorMessage="1" errorTitle="Choose a listed value" error="Use the dropdown. Blank means not yet known; it is not approval." promptTitle="Demand approval" prompt="An approved but incomplete demand blocks the portfolio coverage statement." sqref="D31:D50" xr:uid="{00000000-0002-0000-0800-000001000000}">
      <formula1>"Draft,Approved"</formula1>
    </dataValidation>
    <dataValidation type="list" allowBlank="1" showInputMessage="1" showErrorMessage="1" errorTitle="Choose a listed value" error="Use the dropdown. Blank means not yet known; it is not approval." promptTitle="Already costed?" prompt="Yes needs a unique linked case, evidence and eligibility under the selected planning basis." sqref="J31:J50" xr:uid="{00000000-0002-0000-0800-000002000000}">
      <formula1>"No,Yes"</formula1>
    </dataValidation>
    <dataValidation type="decimal" allowBlank="1" showInputMessage="1" showErrorMessage="1" errorTitle="Invalid number" error="Enter a valid number within the stated range." promptTitle="Required number" prompt="Enter a number; enter 0 only when zero is confirmed." sqref="E31:H50" xr:uid="{00000000-0002-0000-0800-000003000000}">
      <formula1>0</formula1>
      <formula2>1000000000000</formula2>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1" width="10" customWidth="1"/>
    <col min="2" max="2" width="19" customWidth="1"/>
    <col min="3" max="3" width="21" customWidth="1"/>
    <col min="4" max="4" width="19" customWidth="1"/>
    <col min="5" max="5" width="42" customWidth="1"/>
    <col min="6" max="6" width="35" customWidth="1"/>
    <col min="7" max="7" width="45" customWidth="1"/>
    <col min="8" max="8" width="42" customWidth="1"/>
  </cols>
  <sheetData>
    <row r="1" spans="1:8" ht="24" customHeight="1">
      <c r="A1" s="31" t="s">
        <v>284</v>
      </c>
      <c r="B1" s="31"/>
      <c r="C1" s="31"/>
      <c r="D1" s="31"/>
      <c r="E1" s="31"/>
      <c r="F1" s="31"/>
      <c r="G1" s="31"/>
      <c r="H1" s="31"/>
    </row>
    <row r="2" spans="1:8" ht="24" customHeight="1">
      <c r="A2" s="31"/>
      <c r="B2" s="31"/>
      <c r="C2" s="31"/>
      <c r="D2" s="31"/>
      <c r="E2" s="31"/>
      <c r="F2" s="31"/>
      <c r="G2" s="31"/>
      <c r="H2" s="31"/>
    </row>
    <row r="3" spans="1:8" ht="22.15" customHeight="1">
      <c r="A3" s="32" t="s">
        <v>285</v>
      </c>
      <c r="B3" s="32"/>
      <c r="C3" s="32"/>
      <c r="D3" s="32"/>
      <c r="E3" s="32"/>
      <c r="F3" s="32"/>
      <c r="G3" s="32"/>
      <c r="H3" s="32"/>
    </row>
    <row r="4" spans="1:8" ht="22.15" customHeight="1">
      <c r="A4" s="32"/>
      <c r="B4" s="32"/>
      <c r="C4" s="32"/>
      <c r="D4" s="32"/>
      <c r="E4" s="32"/>
      <c r="F4" s="32"/>
      <c r="G4" s="32"/>
      <c r="H4" s="32"/>
    </row>
    <row r="5" spans="1:8" ht="22.9" customHeight="1">
      <c r="A5" s="4" t="str">
        <f>IFERROR(HYPERLINK("#'Start'!A1","← Start"),"← Start")</f>
        <v>← Start</v>
      </c>
      <c r="B5" s="1"/>
      <c r="C5" s="1"/>
      <c r="D5" s="1"/>
      <c r="E5" s="1"/>
      <c r="F5" s="1"/>
      <c r="G5" s="1"/>
      <c r="H5" s="1"/>
    </row>
    <row r="6" spans="1:8" ht="43.15" customHeight="1">
      <c r="A6" s="11" t="s">
        <v>62</v>
      </c>
      <c r="B6" s="11" t="s">
        <v>286</v>
      </c>
      <c r="C6" s="11" t="s">
        <v>287</v>
      </c>
      <c r="D6" s="11" t="s">
        <v>288</v>
      </c>
      <c r="E6" s="11" t="s">
        <v>289</v>
      </c>
      <c r="F6" s="11" t="s">
        <v>290</v>
      </c>
      <c r="G6" s="11" t="s">
        <v>291</v>
      </c>
      <c r="H6" s="11" t="s">
        <v>292</v>
      </c>
    </row>
    <row r="7" spans="1:8" ht="43.9" customHeight="1">
      <c r="A7" s="15" t="s">
        <v>33</v>
      </c>
      <c r="B7" s="20">
        <v>0.95</v>
      </c>
      <c r="C7" s="20">
        <v>0.05</v>
      </c>
      <c r="D7" s="20">
        <v>0.02</v>
      </c>
      <c r="E7" s="16" t="s">
        <v>293</v>
      </c>
      <c r="F7" s="16" t="s">
        <v>294</v>
      </c>
      <c r="G7" s="16" t="s">
        <v>295</v>
      </c>
      <c r="H7" s="15" t="str">
        <f t="shared" ref="H7:H38" si="0">IF(COUNT(B7:D7)=0,"Optional diagnostic",IF(OR(COUNT(B7:D7)&lt;&gt;3,MIN(B7:D7)&lt;0,MAX(B7:D7)&gt;1),"Complete valid ratios","Inspect marginal decisions and rare cases; ratios alone do not prove effectiveness."))</f>
        <v>Inspect marginal decisions and rare cases; ratios alone do not prove effectiveness.</v>
      </c>
    </row>
    <row r="8" spans="1:8" ht="43.9" customHeight="1">
      <c r="A8" s="15" t="s">
        <v>75</v>
      </c>
      <c r="B8" s="20"/>
      <c r="C8" s="20"/>
      <c r="D8" s="20"/>
      <c r="E8" s="16"/>
      <c r="F8" s="16"/>
      <c r="G8" s="16"/>
      <c r="H8" s="15" t="str">
        <f t="shared" si="0"/>
        <v>Optional diagnostic</v>
      </c>
    </row>
    <row r="9" spans="1:8" ht="43.9" customHeight="1">
      <c r="A9" s="15" t="s">
        <v>78</v>
      </c>
      <c r="B9" s="20"/>
      <c r="C9" s="20"/>
      <c r="D9" s="20"/>
      <c r="E9" s="16"/>
      <c r="F9" s="16"/>
      <c r="G9" s="16"/>
      <c r="H9" s="15" t="str">
        <f t="shared" si="0"/>
        <v>Optional diagnostic</v>
      </c>
    </row>
    <row r="10" spans="1:8" ht="43.9" customHeight="1">
      <c r="A10" s="15" t="s">
        <v>82</v>
      </c>
      <c r="B10" s="20"/>
      <c r="C10" s="20"/>
      <c r="D10" s="20"/>
      <c r="E10" s="16"/>
      <c r="F10" s="16"/>
      <c r="G10" s="16"/>
      <c r="H10" s="15" t="str">
        <f t="shared" si="0"/>
        <v>Optional diagnostic</v>
      </c>
    </row>
    <row r="11" spans="1:8" ht="43.9" customHeight="1">
      <c r="A11" s="15" t="s">
        <v>85</v>
      </c>
      <c r="B11" s="20"/>
      <c r="C11" s="20"/>
      <c r="D11" s="20"/>
      <c r="E11" s="16"/>
      <c r="F11" s="16"/>
      <c r="G11" s="16"/>
      <c r="H11" s="15" t="str">
        <f t="shared" si="0"/>
        <v>Optional diagnostic</v>
      </c>
    </row>
    <row r="12" spans="1:8" ht="43.9" customHeight="1">
      <c r="A12" s="15" t="s">
        <v>88</v>
      </c>
      <c r="B12" s="20"/>
      <c r="C12" s="20"/>
      <c r="D12" s="20"/>
      <c r="E12" s="16"/>
      <c r="F12" s="16"/>
      <c r="G12" s="16"/>
      <c r="H12" s="15" t="str">
        <f t="shared" si="0"/>
        <v>Optional diagnostic</v>
      </c>
    </row>
    <row r="13" spans="1:8" ht="43.9" customHeight="1">
      <c r="A13" s="15" t="s">
        <v>91</v>
      </c>
      <c r="B13" s="20"/>
      <c r="C13" s="20"/>
      <c r="D13" s="20"/>
      <c r="E13" s="16"/>
      <c r="F13" s="16"/>
      <c r="G13" s="16"/>
      <c r="H13" s="15" t="str">
        <f t="shared" si="0"/>
        <v>Optional diagnostic</v>
      </c>
    </row>
    <row r="14" spans="1:8" ht="43.9" customHeight="1">
      <c r="A14" s="15" t="s">
        <v>94</v>
      </c>
      <c r="B14" s="20"/>
      <c r="C14" s="20"/>
      <c r="D14" s="20"/>
      <c r="E14" s="16"/>
      <c r="F14" s="16"/>
      <c r="G14" s="16"/>
      <c r="H14" s="15" t="str">
        <f t="shared" si="0"/>
        <v>Optional diagnostic</v>
      </c>
    </row>
    <row r="15" spans="1:8" ht="43.9" customHeight="1">
      <c r="A15" s="15" t="s">
        <v>97</v>
      </c>
      <c r="B15" s="20"/>
      <c r="C15" s="20"/>
      <c r="D15" s="20"/>
      <c r="E15" s="16"/>
      <c r="F15" s="16"/>
      <c r="G15" s="16"/>
      <c r="H15" s="15" t="str">
        <f t="shared" si="0"/>
        <v>Optional diagnostic</v>
      </c>
    </row>
    <row r="16" spans="1:8" ht="43.9" customHeight="1">
      <c r="A16" s="15" t="s">
        <v>102</v>
      </c>
      <c r="B16" s="20"/>
      <c r="C16" s="20"/>
      <c r="D16" s="20"/>
      <c r="E16" s="16"/>
      <c r="F16" s="16"/>
      <c r="G16" s="16"/>
      <c r="H16" s="15" t="str">
        <f t="shared" si="0"/>
        <v>Optional diagnostic</v>
      </c>
    </row>
    <row r="17" spans="1:8" ht="43.9" customHeight="1">
      <c r="A17" s="15" t="s">
        <v>105</v>
      </c>
      <c r="B17" s="20"/>
      <c r="C17" s="20"/>
      <c r="D17" s="20"/>
      <c r="E17" s="16"/>
      <c r="F17" s="16"/>
      <c r="G17" s="16"/>
      <c r="H17" s="15" t="str">
        <f t="shared" si="0"/>
        <v>Optional diagnostic</v>
      </c>
    </row>
    <row r="18" spans="1:8" ht="43.9" customHeight="1">
      <c r="A18" s="15" t="s">
        <v>108</v>
      </c>
      <c r="B18" s="20"/>
      <c r="C18" s="20"/>
      <c r="D18" s="20"/>
      <c r="E18" s="16"/>
      <c r="F18" s="16"/>
      <c r="G18" s="16"/>
      <c r="H18" s="15" t="str">
        <f t="shared" si="0"/>
        <v>Optional diagnostic</v>
      </c>
    </row>
    <row r="19" spans="1:8" ht="43.9" customHeight="1">
      <c r="A19" s="15" t="s">
        <v>110</v>
      </c>
      <c r="B19" s="20"/>
      <c r="C19" s="20"/>
      <c r="D19" s="20"/>
      <c r="E19" s="16"/>
      <c r="F19" s="16"/>
      <c r="G19" s="16"/>
      <c r="H19" s="15" t="str">
        <f t="shared" si="0"/>
        <v>Optional diagnostic</v>
      </c>
    </row>
    <row r="20" spans="1:8" ht="43.9" customHeight="1">
      <c r="A20" s="15" t="s">
        <v>111</v>
      </c>
      <c r="B20" s="20"/>
      <c r="C20" s="20"/>
      <c r="D20" s="20"/>
      <c r="E20" s="16"/>
      <c r="F20" s="16"/>
      <c r="G20" s="16"/>
      <c r="H20" s="15" t="str">
        <f t="shared" si="0"/>
        <v>Optional diagnostic</v>
      </c>
    </row>
    <row r="21" spans="1:8" ht="43.9" customHeight="1">
      <c r="A21" s="15" t="s">
        <v>112</v>
      </c>
      <c r="B21" s="20"/>
      <c r="C21" s="20"/>
      <c r="D21" s="20"/>
      <c r="E21" s="16"/>
      <c r="F21" s="16"/>
      <c r="G21" s="16"/>
      <c r="H21" s="15" t="str">
        <f t="shared" si="0"/>
        <v>Optional diagnostic</v>
      </c>
    </row>
    <row r="22" spans="1:8" ht="43.9" customHeight="1">
      <c r="A22" s="15" t="s">
        <v>113</v>
      </c>
      <c r="B22" s="20"/>
      <c r="C22" s="20"/>
      <c r="D22" s="20"/>
      <c r="E22" s="16"/>
      <c r="F22" s="16"/>
      <c r="G22" s="16"/>
      <c r="H22" s="15" t="str">
        <f t="shared" si="0"/>
        <v>Optional diagnostic</v>
      </c>
    </row>
    <row r="23" spans="1:8" ht="43.9" customHeight="1">
      <c r="A23" s="15" t="s">
        <v>114</v>
      </c>
      <c r="B23" s="20"/>
      <c r="C23" s="20"/>
      <c r="D23" s="20"/>
      <c r="E23" s="16"/>
      <c r="F23" s="16"/>
      <c r="G23" s="16"/>
      <c r="H23" s="15" t="str">
        <f t="shared" si="0"/>
        <v>Optional diagnostic</v>
      </c>
    </row>
    <row r="24" spans="1:8" ht="43.9" customHeight="1">
      <c r="A24" s="15" t="s">
        <v>115</v>
      </c>
      <c r="B24" s="20"/>
      <c r="C24" s="20"/>
      <c r="D24" s="20"/>
      <c r="E24" s="16"/>
      <c r="F24" s="16"/>
      <c r="G24" s="16"/>
      <c r="H24" s="15" t="str">
        <f t="shared" si="0"/>
        <v>Optional diagnostic</v>
      </c>
    </row>
    <row r="25" spans="1:8" ht="43.9" customHeight="1">
      <c r="A25" s="15" t="s">
        <v>116</v>
      </c>
      <c r="B25" s="20"/>
      <c r="C25" s="20"/>
      <c r="D25" s="20"/>
      <c r="E25" s="16"/>
      <c r="F25" s="16"/>
      <c r="G25" s="16"/>
      <c r="H25" s="15" t="str">
        <f t="shared" si="0"/>
        <v>Optional diagnostic</v>
      </c>
    </row>
    <row r="26" spans="1:8" ht="43.9" customHeight="1">
      <c r="A26" s="15" t="s">
        <v>117</v>
      </c>
      <c r="B26" s="20"/>
      <c r="C26" s="20"/>
      <c r="D26" s="20"/>
      <c r="E26" s="16"/>
      <c r="F26" s="16"/>
      <c r="G26" s="16"/>
      <c r="H26" s="15" t="str">
        <f t="shared" si="0"/>
        <v>Optional diagnostic</v>
      </c>
    </row>
    <row r="27" spans="1:8" ht="43.9" customHeight="1">
      <c r="A27" s="15" t="s">
        <v>118</v>
      </c>
      <c r="B27" s="20"/>
      <c r="C27" s="20"/>
      <c r="D27" s="20"/>
      <c r="E27" s="16"/>
      <c r="F27" s="16"/>
      <c r="G27" s="16"/>
      <c r="H27" s="15" t="str">
        <f t="shared" si="0"/>
        <v>Optional diagnostic</v>
      </c>
    </row>
    <row r="28" spans="1:8" ht="43.9" customHeight="1">
      <c r="A28" s="15" t="s">
        <v>119</v>
      </c>
      <c r="B28" s="20"/>
      <c r="C28" s="20"/>
      <c r="D28" s="20"/>
      <c r="E28" s="16"/>
      <c r="F28" s="16"/>
      <c r="G28" s="16"/>
      <c r="H28" s="15" t="str">
        <f t="shared" si="0"/>
        <v>Optional diagnostic</v>
      </c>
    </row>
    <row r="29" spans="1:8" ht="43.9" customHeight="1">
      <c r="A29" s="15" t="s">
        <v>120</v>
      </c>
      <c r="B29" s="20"/>
      <c r="C29" s="20"/>
      <c r="D29" s="20"/>
      <c r="E29" s="16"/>
      <c r="F29" s="16"/>
      <c r="G29" s="16"/>
      <c r="H29" s="15" t="str">
        <f t="shared" si="0"/>
        <v>Optional diagnostic</v>
      </c>
    </row>
    <row r="30" spans="1:8" ht="43.9" customHeight="1">
      <c r="A30" s="15" t="s">
        <v>121</v>
      </c>
      <c r="B30" s="20"/>
      <c r="C30" s="20"/>
      <c r="D30" s="20"/>
      <c r="E30" s="16"/>
      <c r="F30" s="16"/>
      <c r="G30" s="16"/>
      <c r="H30" s="15" t="str">
        <f t="shared" si="0"/>
        <v>Optional diagnostic</v>
      </c>
    </row>
    <row r="31" spans="1:8" ht="43.9" customHeight="1">
      <c r="A31" s="15" t="s">
        <v>122</v>
      </c>
      <c r="B31" s="20"/>
      <c r="C31" s="20"/>
      <c r="D31" s="20"/>
      <c r="E31" s="16"/>
      <c r="F31" s="16"/>
      <c r="G31" s="16"/>
      <c r="H31" s="15" t="str">
        <f t="shared" si="0"/>
        <v>Optional diagnostic</v>
      </c>
    </row>
    <row r="32" spans="1:8" ht="43.9" customHeight="1">
      <c r="A32" s="15" t="s">
        <v>123</v>
      </c>
      <c r="B32" s="20"/>
      <c r="C32" s="20"/>
      <c r="D32" s="20"/>
      <c r="E32" s="16"/>
      <c r="F32" s="16"/>
      <c r="G32" s="16"/>
      <c r="H32" s="15" t="str">
        <f t="shared" si="0"/>
        <v>Optional diagnostic</v>
      </c>
    </row>
    <row r="33" spans="1:8" ht="43.9" customHeight="1">
      <c r="A33" s="15" t="s">
        <v>124</v>
      </c>
      <c r="B33" s="20"/>
      <c r="C33" s="20"/>
      <c r="D33" s="20"/>
      <c r="E33" s="16"/>
      <c r="F33" s="16"/>
      <c r="G33" s="16"/>
      <c r="H33" s="15" t="str">
        <f t="shared" si="0"/>
        <v>Optional diagnostic</v>
      </c>
    </row>
    <row r="34" spans="1:8" ht="43.9" customHeight="1">
      <c r="A34" s="15" t="s">
        <v>125</v>
      </c>
      <c r="B34" s="20"/>
      <c r="C34" s="20"/>
      <c r="D34" s="20"/>
      <c r="E34" s="16"/>
      <c r="F34" s="16"/>
      <c r="G34" s="16"/>
      <c r="H34" s="15" t="str">
        <f t="shared" si="0"/>
        <v>Optional diagnostic</v>
      </c>
    </row>
    <row r="35" spans="1:8" ht="43.9" customHeight="1">
      <c r="A35" s="15" t="s">
        <v>126</v>
      </c>
      <c r="B35" s="20"/>
      <c r="C35" s="20"/>
      <c r="D35" s="20"/>
      <c r="E35" s="16"/>
      <c r="F35" s="16"/>
      <c r="G35" s="16"/>
      <c r="H35" s="15" t="str">
        <f t="shared" si="0"/>
        <v>Optional diagnostic</v>
      </c>
    </row>
    <row r="36" spans="1:8" ht="43.9" customHeight="1">
      <c r="A36" s="15" t="s">
        <v>127</v>
      </c>
      <c r="B36" s="20"/>
      <c r="C36" s="20"/>
      <c r="D36" s="20"/>
      <c r="E36" s="16"/>
      <c r="F36" s="16"/>
      <c r="G36" s="16"/>
      <c r="H36" s="15" t="str">
        <f t="shared" si="0"/>
        <v>Optional diagnostic</v>
      </c>
    </row>
    <row r="37" spans="1:8" ht="43.9" customHeight="1">
      <c r="A37" s="15" t="s">
        <v>128</v>
      </c>
      <c r="B37" s="20"/>
      <c r="C37" s="20"/>
      <c r="D37" s="20"/>
      <c r="E37" s="16"/>
      <c r="F37" s="16"/>
      <c r="G37" s="16"/>
      <c r="H37" s="15" t="str">
        <f t="shared" si="0"/>
        <v>Optional diagnostic</v>
      </c>
    </row>
    <row r="38" spans="1:8" ht="43.9" customHeight="1">
      <c r="A38" s="15" t="s">
        <v>129</v>
      </c>
      <c r="B38" s="20"/>
      <c r="C38" s="20"/>
      <c r="D38" s="20"/>
      <c r="E38" s="16"/>
      <c r="F38" s="16"/>
      <c r="G38" s="16"/>
      <c r="H38" s="15" t="str">
        <f t="shared" si="0"/>
        <v>Optional diagnostic</v>
      </c>
    </row>
    <row r="39" spans="1:8" ht="43.9" customHeight="1">
      <c r="A39" s="15" t="s">
        <v>130</v>
      </c>
      <c r="B39" s="20"/>
      <c r="C39" s="20"/>
      <c r="D39" s="20"/>
      <c r="E39" s="16"/>
      <c r="F39" s="16"/>
      <c r="G39" s="16"/>
      <c r="H39" s="15" t="str">
        <f t="shared" ref="H39:H56" si="1">IF(COUNT(B39:D39)=0,"Optional diagnostic",IF(OR(COUNT(B39:D39)&lt;&gt;3,MIN(B39:D39)&lt;0,MAX(B39:D39)&gt;1),"Complete valid ratios","Inspect marginal decisions and rare cases; ratios alone do not prove effectiveness."))</f>
        <v>Optional diagnostic</v>
      </c>
    </row>
    <row r="40" spans="1:8" ht="43.9" customHeight="1">
      <c r="A40" s="15" t="s">
        <v>131</v>
      </c>
      <c r="B40" s="20"/>
      <c r="C40" s="20"/>
      <c r="D40" s="20"/>
      <c r="E40" s="16"/>
      <c r="F40" s="16"/>
      <c r="G40" s="16"/>
      <c r="H40" s="15" t="str">
        <f t="shared" si="1"/>
        <v>Optional diagnostic</v>
      </c>
    </row>
    <row r="41" spans="1:8" ht="43.9" customHeight="1">
      <c r="A41" s="15" t="s">
        <v>132</v>
      </c>
      <c r="B41" s="20"/>
      <c r="C41" s="20"/>
      <c r="D41" s="20"/>
      <c r="E41" s="16"/>
      <c r="F41" s="16"/>
      <c r="G41" s="16"/>
      <c r="H41" s="15" t="str">
        <f t="shared" si="1"/>
        <v>Optional diagnostic</v>
      </c>
    </row>
    <row r="42" spans="1:8" ht="43.9" customHeight="1">
      <c r="A42" s="15" t="s">
        <v>133</v>
      </c>
      <c r="B42" s="20"/>
      <c r="C42" s="20"/>
      <c r="D42" s="20"/>
      <c r="E42" s="16"/>
      <c r="F42" s="16"/>
      <c r="G42" s="16"/>
      <c r="H42" s="15" t="str">
        <f t="shared" si="1"/>
        <v>Optional diagnostic</v>
      </c>
    </row>
    <row r="43" spans="1:8" ht="43.9" customHeight="1">
      <c r="A43" s="15" t="s">
        <v>134</v>
      </c>
      <c r="B43" s="20"/>
      <c r="C43" s="20"/>
      <c r="D43" s="20"/>
      <c r="E43" s="16"/>
      <c r="F43" s="16"/>
      <c r="G43" s="16"/>
      <c r="H43" s="15" t="str">
        <f t="shared" si="1"/>
        <v>Optional diagnostic</v>
      </c>
    </row>
    <row r="44" spans="1:8" ht="43.9" customHeight="1">
      <c r="A44" s="15" t="s">
        <v>135</v>
      </c>
      <c r="B44" s="20"/>
      <c r="C44" s="20"/>
      <c r="D44" s="20"/>
      <c r="E44" s="16"/>
      <c r="F44" s="16"/>
      <c r="G44" s="16"/>
      <c r="H44" s="15" t="str">
        <f t="shared" si="1"/>
        <v>Optional diagnostic</v>
      </c>
    </row>
    <row r="45" spans="1:8" ht="43.9" customHeight="1">
      <c r="A45" s="15" t="s">
        <v>136</v>
      </c>
      <c r="B45" s="20"/>
      <c r="C45" s="20"/>
      <c r="D45" s="20"/>
      <c r="E45" s="16"/>
      <c r="F45" s="16"/>
      <c r="G45" s="16"/>
      <c r="H45" s="15" t="str">
        <f t="shared" si="1"/>
        <v>Optional diagnostic</v>
      </c>
    </row>
    <row r="46" spans="1:8" ht="43.9" customHeight="1">
      <c r="A46" s="15" t="s">
        <v>137</v>
      </c>
      <c r="B46" s="20"/>
      <c r="C46" s="20"/>
      <c r="D46" s="20"/>
      <c r="E46" s="16"/>
      <c r="F46" s="16"/>
      <c r="G46" s="16"/>
      <c r="H46" s="15" t="str">
        <f t="shared" si="1"/>
        <v>Optional diagnostic</v>
      </c>
    </row>
    <row r="47" spans="1:8" ht="43.9" customHeight="1">
      <c r="A47" s="15" t="s">
        <v>138</v>
      </c>
      <c r="B47" s="20"/>
      <c r="C47" s="20"/>
      <c r="D47" s="20"/>
      <c r="E47" s="16"/>
      <c r="F47" s="16"/>
      <c r="G47" s="16"/>
      <c r="H47" s="15" t="str">
        <f t="shared" si="1"/>
        <v>Optional diagnostic</v>
      </c>
    </row>
    <row r="48" spans="1:8" ht="43.9" customHeight="1">
      <c r="A48" s="15" t="s">
        <v>139</v>
      </c>
      <c r="B48" s="20"/>
      <c r="C48" s="20"/>
      <c r="D48" s="20"/>
      <c r="E48" s="16"/>
      <c r="F48" s="16"/>
      <c r="G48" s="16"/>
      <c r="H48" s="15" t="str">
        <f t="shared" si="1"/>
        <v>Optional diagnostic</v>
      </c>
    </row>
    <row r="49" spans="1:8" ht="43.9" customHeight="1">
      <c r="A49" s="15" t="s">
        <v>140</v>
      </c>
      <c r="B49" s="20"/>
      <c r="C49" s="20"/>
      <c r="D49" s="20"/>
      <c r="E49" s="16"/>
      <c r="F49" s="16"/>
      <c r="G49" s="16"/>
      <c r="H49" s="15" t="str">
        <f t="shared" si="1"/>
        <v>Optional diagnostic</v>
      </c>
    </row>
    <row r="50" spans="1:8" ht="43.9" customHeight="1">
      <c r="A50" s="15" t="s">
        <v>141</v>
      </c>
      <c r="B50" s="20"/>
      <c r="C50" s="20"/>
      <c r="D50" s="20"/>
      <c r="E50" s="16"/>
      <c r="F50" s="16"/>
      <c r="G50" s="16"/>
      <c r="H50" s="15" t="str">
        <f t="shared" si="1"/>
        <v>Optional diagnostic</v>
      </c>
    </row>
    <row r="51" spans="1:8" ht="43.9" customHeight="1">
      <c r="A51" s="15" t="s">
        <v>142</v>
      </c>
      <c r="B51" s="20"/>
      <c r="C51" s="20"/>
      <c r="D51" s="20"/>
      <c r="E51" s="16"/>
      <c r="F51" s="16"/>
      <c r="G51" s="16"/>
      <c r="H51" s="15" t="str">
        <f t="shared" si="1"/>
        <v>Optional diagnostic</v>
      </c>
    </row>
    <row r="52" spans="1:8" ht="43.9" customHeight="1">
      <c r="A52" s="15" t="s">
        <v>143</v>
      </c>
      <c r="B52" s="20"/>
      <c r="C52" s="20"/>
      <c r="D52" s="20"/>
      <c r="E52" s="16"/>
      <c r="F52" s="16"/>
      <c r="G52" s="16"/>
      <c r="H52" s="15" t="str">
        <f t="shared" si="1"/>
        <v>Optional diagnostic</v>
      </c>
    </row>
    <row r="53" spans="1:8" ht="43.9" customHeight="1">
      <c r="A53" s="15" t="s">
        <v>144</v>
      </c>
      <c r="B53" s="20"/>
      <c r="C53" s="20"/>
      <c r="D53" s="20"/>
      <c r="E53" s="16"/>
      <c r="F53" s="16"/>
      <c r="G53" s="16"/>
      <c r="H53" s="15" t="str">
        <f t="shared" si="1"/>
        <v>Optional diagnostic</v>
      </c>
    </row>
    <row r="54" spans="1:8" ht="43.9" customHeight="1">
      <c r="A54" s="15" t="s">
        <v>145</v>
      </c>
      <c r="B54" s="20"/>
      <c r="C54" s="20"/>
      <c r="D54" s="20"/>
      <c r="E54" s="16"/>
      <c r="F54" s="16"/>
      <c r="G54" s="16"/>
      <c r="H54" s="15" t="str">
        <f t="shared" si="1"/>
        <v>Optional diagnostic</v>
      </c>
    </row>
    <row r="55" spans="1:8" ht="43.9" customHeight="1">
      <c r="A55" s="15" t="s">
        <v>146</v>
      </c>
      <c r="B55" s="20"/>
      <c r="C55" s="20"/>
      <c r="D55" s="20"/>
      <c r="E55" s="16"/>
      <c r="F55" s="16"/>
      <c r="G55" s="16"/>
      <c r="H55" s="15" t="str">
        <f t="shared" si="1"/>
        <v>Optional diagnostic</v>
      </c>
    </row>
    <row r="56" spans="1:8" ht="43.9" customHeight="1">
      <c r="A56" s="15" t="s">
        <v>147</v>
      </c>
      <c r="B56" s="20"/>
      <c r="C56" s="20"/>
      <c r="D56" s="20"/>
      <c r="E56" s="16"/>
      <c r="F56" s="16"/>
      <c r="G56" s="16"/>
      <c r="H56" s="15" t="str">
        <f t="shared" si="1"/>
        <v>Optional diagnostic</v>
      </c>
    </row>
    <row r="57" spans="1:8" ht="22.9" customHeight="1">
      <c r="A57" s="1"/>
      <c r="B57" s="1"/>
      <c r="C57" s="1"/>
      <c r="D57" s="1"/>
      <c r="E57" s="1"/>
      <c r="F57" s="1"/>
      <c r="G57" s="1"/>
      <c r="H57" s="1"/>
    </row>
    <row r="58" spans="1:8" ht="22.9" customHeight="1">
      <c r="A58" s="1"/>
      <c r="B58" s="1"/>
      <c r="C58" s="1"/>
      <c r="D58" s="1"/>
      <c r="E58" s="1"/>
      <c r="F58" s="1"/>
      <c r="G58" s="1"/>
      <c r="H58" s="1"/>
    </row>
    <row r="59" spans="1:8" ht="22.9" customHeight="1">
      <c r="A59" s="1"/>
      <c r="B59" s="1"/>
      <c r="C59" s="1"/>
      <c r="D59" s="1"/>
      <c r="E59" s="1"/>
      <c r="F59" s="1"/>
      <c r="G59" s="1"/>
      <c r="H59" s="1"/>
    </row>
    <row r="60" spans="1:8" ht="22.9" customHeight="1">
      <c r="A60" s="1"/>
      <c r="B60" s="1"/>
      <c r="C60" s="1"/>
      <c r="D60" s="1"/>
      <c r="E60" s="1"/>
      <c r="F60" s="1"/>
      <c r="G60" s="1"/>
      <c r="H60" s="1"/>
    </row>
    <row r="61" spans="1:8" ht="22.9" customHeight="1">
      <c r="A61" s="1"/>
      <c r="B61" s="1"/>
      <c r="C61" s="1"/>
      <c r="D61" s="1"/>
      <c r="E61" s="1"/>
      <c r="F61" s="1"/>
      <c r="G61" s="1"/>
      <c r="H61" s="1"/>
    </row>
    <row r="62" spans="1:8" ht="22.9" customHeight="1">
      <c r="A62" s="1"/>
      <c r="B62" s="1"/>
      <c r="C62" s="1"/>
      <c r="D62" s="1"/>
      <c r="E62" s="1"/>
      <c r="F62" s="1"/>
      <c r="G62" s="1"/>
      <c r="H62" s="1"/>
    </row>
    <row r="63" spans="1:8" ht="22.9" customHeight="1">
      <c r="A63" s="1"/>
      <c r="B63" s="1"/>
      <c r="C63" s="1"/>
      <c r="D63" s="1"/>
      <c r="E63" s="1"/>
      <c r="F63" s="1"/>
      <c r="G63" s="1"/>
      <c r="H63" s="1"/>
    </row>
    <row r="64" spans="1:8" ht="22.9" customHeight="1">
      <c r="A64" s="1"/>
      <c r="B64" s="1"/>
      <c r="C64" s="1"/>
      <c r="D64" s="1"/>
      <c r="E64" s="1"/>
      <c r="F64" s="1"/>
      <c r="G64" s="1"/>
      <c r="H64" s="1"/>
    </row>
    <row r="65" spans="1:8" ht="22.9" customHeight="1">
      <c r="A65" s="1"/>
      <c r="B65" s="1"/>
      <c r="C65" s="1"/>
      <c r="D65" s="1"/>
      <c r="E65" s="1"/>
      <c r="F65" s="1"/>
      <c r="G65" s="1"/>
      <c r="H65" s="1"/>
    </row>
    <row r="66" spans="1:8" ht="22.9" customHeight="1">
      <c r="A66" s="1"/>
      <c r="B66" s="1"/>
      <c r="C66" s="1"/>
      <c r="D66" s="1"/>
      <c r="E66" s="1"/>
      <c r="F66" s="1"/>
      <c r="G66" s="1"/>
      <c r="H66" s="1"/>
    </row>
    <row r="67" spans="1:8" ht="22.9" customHeight="1">
      <c r="A67" s="1"/>
      <c r="B67" s="1"/>
      <c r="C67" s="1"/>
      <c r="D67" s="1"/>
      <c r="E67" s="1"/>
      <c r="F67" s="1"/>
      <c r="G67" s="1"/>
      <c r="H67" s="1"/>
    </row>
    <row r="68" spans="1:8" ht="22.9" customHeight="1">
      <c r="A68" s="1"/>
      <c r="B68" s="1"/>
      <c r="C68" s="1"/>
      <c r="D68" s="1"/>
      <c r="E68" s="1"/>
      <c r="F68" s="1"/>
      <c r="G68" s="1"/>
      <c r="H68" s="1"/>
    </row>
    <row r="69" spans="1:8" ht="22.9" customHeight="1">
      <c r="A69" s="1"/>
      <c r="B69" s="1"/>
      <c r="C69" s="1"/>
      <c r="D69" s="1"/>
      <c r="E69" s="1"/>
      <c r="F69" s="1"/>
      <c r="G69" s="1"/>
      <c r="H69" s="1"/>
    </row>
    <row r="70" spans="1:8" ht="22.9" customHeight="1">
      <c r="A70" s="1"/>
      <c r="B70" s="1"/>
      <c r="C70" s="1"/>
      <c r="D70" s="1"/>
      <c r="E70" s="1"/>
      <c r="F70" s="1"/>
      <c r="G70" s="1"/>
      <c r="H70" s="1"/>
    </row>
    <row r="71" spans="1:8" ht="22.9" customHeight="1">
      <c r="A71" s="1"/>
      <c r="B71" s="1"/>
      <c r="C71" s="1"/>
      <c r="D71" s="1"/>
      <c r="E71" s="1"/>
      <c r="F71" s="1"/>
      <c r="G71" s="1"/>
      <c r="H71" s="1"/>
    </row>
    <row r="72" spans="1:8" ht="22.9" customHeight="1">
      <c r="A72" s="1"/>
      <c r="B72" s="1"/>
      <c r="C72" s="1"/>
      <c r="D72" s="1"/>
      <c r="E72" s="1"/>
      <c r="F72" s="1"/>
      <c r="G72" s="1"/>
      <c r="H72" s="1"/>
    </row>
    <row r="73" spans="1:8" ht="22.9" customHeight="1">
      <c r="A73" s="1"/>
      <c r="B73" s="1"/>
      <c r="C73" s="1"/>
      <c r="D73" s="1"/>
      <c r="E73" s="1"/>
      <c r="F73" s="1"/>
      <c r="G73" s="1"/>
      <c r="H73" s="1"/>
    </row>
    <row r="74" spans="1:8" ht="22.9" customHeight="1">
      <c r="A74" s="1"/>
      <c r="B74" s="1"/>
      <c r="C74" s="1"/>
      <c r="D74" s="1"/>
      <c r="E74" s="1"/>
      <c r="F74" s="1"/>
      <c r="G74" s="1"/>
      <c r="H74" s="1"/>
    </row>
    <row r="75" spans="1:8" ht="22.9" customHeight="1">
      <c r="A75" s="1"/>
      <c r="B75" s="1"/>
      <c r="C75" s="1"/>
      <c r="D75" s="1"/>
      <c r="E75" s="1"/>
      <c r="F75" s="1"/>
      <c r="G75" s="1"/>
      <c r="H75" s="1"/>
    </row>
    <row r="76" spans="1:8" ht="22.9" customHeight="1">
      <c r="A76" s="1"/>
      <c r="B76" s="1"/>
      <c r="C76" s="1"/>
      <c r="D76" s="1"/>
      <c r="E76" s="1"/>
      <c r="F76" s="1"/>
      <c r="G76" s="1"/>
      <c r="H76" s="1"/>
    </row>
    <row r="77" spans="1:8" ht="22.9" customHeight="1">
      <c r="A77" s="1"/>
      <c r="B77" s="1"/>
      <c r="C77" s="1"/>
      <c r="D77" s="1"/>
      <c r="E77" s="1"/>
      <c r="F77" s="1"/>
      <c r="G77" s="1"/>
      <c r="H77" s="1"/>
    </row>
    <row r="78" spans="1:8" ht="22.9" customHeight="1">
      <c r="A78" s="1"/>
      <c r="B78" s="1"/>
      <c r="C78" s="1"/>
      <c r="D78" s="1"/>
      <c r="E78" s="1"/>
      <c r="F78" s="1"/>
      <c r="G78" s="1"/>
      <c r="H78" s="1"/>
    </row>
    <row r="79" spans="1:8" ht="22.9" customHeight="1">
      <c r="A79" s="1"/>
      <c r="B79" s="1"/>
      <c r="C79" s="1"/>
      <c r="D79" s="1"/>
      <c r="E79" s="1"/>
      <c r="F79" s="1"/>
      <c r="G79" s="1"/>
      <c r="H79" s="1"/>
    </row>
    <row r="80" spans="1:8" ht="22.9" customHeight="1">
      <c r="A80" s="1"/>
      <c r="B80" s="1"/>
      <c r="C80" s="1"/>
      <c r="D80" s="1"/>
      <c r="E80" s="1"/>
      <c r="F80" s="1"/>
      <c r="G80" s="1"/>
      <c r="H80" s="1"/>
    </row>
  </sheetData>
  <mergeCells count="2">
    <mergeCell ref="A1:H2"/>
    <mergeCell ref="A3:H4"/>
  </mergeCells>
  <dataValidations count="1">
    <dataValidation type="decimal" allowBlank="1" showInputMessage="1" showErrorMessage="1" errorTitle="Invalid number" error="Enter a valid number within the stated range." promptTitle="Required number" prompt="Enter a number; enter 0 only when zero is confirmed." sqref="B7:D56" xr:uid="{00000000-0002-0000-0900-000000000000}">
      <formula1>0</formula1>
      <formula2>1</formula2>
    </dataValidation>
  </dataValidation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0"/>
  <sheetViews>
    <sheetView showGridLines="0" workbookViewId="0"/>
  </sheetViews>
  <sheetFormatPr baseColWidth="10" defaultColWidth="8.75" defaultRowHeight="14.25"/>
  <cols>
    <col min="1" max="1" width="28" customWidth="1"/>
    <col min="2" max="3" width="14" customWidth="1"/>
    <col min="4" max="6" width="26" customWidth="1"/>
  </cols>
  <sheetData>
    <row r="1" spans="1:6" ht="24" customHeight="1">
      <c r="A1" s="31" t="s">
        <v>296</v>
      </c>
      <c r="B1" s="31"/>
      <c r="C1" s="31"/>
      <c r="D1" s="31"/>
      <c r="E1" s="31"/>
      <c r="F1" s="31"/>
    </row>
    <row r="2" spans="1:6" ht="24" customHeight="1">
      <c r="A2" s="31"/>
      <c r="B2" s="31"/>
      <c r="C2" s="31"/>
      <c r="D2" s="31"/>
      <c r="E2" s="31"/>
      <c r="F2" s="31"/>
    </row>
    <row r="3" spans="1:6" ht="22.15" customHeight="1">
      <c r="A3" s="32" t="s">
        <v>297</v>
      </c>
      <c r="B3" s="32"/>
      <c r="C3" s="32"/>
      <c r="D3" s="32"/>
      <c r="E3" s="32"/>
      <c r="F3" s="32"/>
    </row>
    <row r="4" spans="1:6" ht="22.15" customHeight="1">
      <c r="A4" s="32"/>
      <c r="B4" s="32"/>
      <c r="C4" s="32"/>
      <c r="D4" s="32"/>
      <c r="E4" s="32"/>
      <c r="F4" s="32"/>
    </row>
    <row r="5" spans="1:6" ht="22.9" customHeight="1">
      <c r="A5" s="4" t="str">
        <f>IFERROR(HYPERLINK("#'Start'!A1","← Start"),"← Start")</f>
        <v>← Start</v>
      </c>
      <c r="B5" s="1"/>
      <c r="C5" s="1"/>
      <c r="D5" s="1"/>
      <c r="E5" s="1"/>
      <c r="F5" s="1"/>
    </row>
    <row r="6" spans="1:6" ht="22.9" customHeight="1">
      <c r="A6" s="6" t="s">
        <v>298</v>
      </c>
      <c r="B6" s="6" t="s">
        <v>299</v>
      </c>
      <c r="C6" s="6" t="s">
        <v>300</v>
      </c>
      <c r="D6" s="6" t="s">
        <v>301</v>
      </c>
      <c r="E6" s="6"/>
      <c r="F6" s="6"/>
    </row>
    <row r="7" spans="1:6" ht="42" customHeight="1">
      <c r="A7" s="7" t="s">
        <v>302</v>
      </c>
      <c r="B7" s="8">
        <v>46318</v>
      </c>
      <c r="C7" s="7" t="s">
        <v>303</v>
      </c>
      <c r="D7" s="7" t="s">
        <v>304</v>
      </c>
      <c r="E7" s="7"/>
      <c r="F7" s="7"/>
    </row>
    <row r="8" spans="1:6" ht="42" customHeight="1">
      <c r="A8" s="7" t="s">
        <v>233</v>
      </c>
      <c r="B8" s="9" t="s">
        <v>305</v>
      </c>
      <c r="C8" s="7" t="s">
        <v>306</v>
      </c>
      <c r="D8" s="7" t="s">
        <v>307</v>
      </c>
      <c r="E8" s="7"/>
      <c r="F8" s="7"/>
    </row>
    <row r="9" spans="1:6" ht="42" customHeight="1">
      <c r="A9" s="7" t="s">
        <v>308</v>
      </c>
      <c r="B9" s="9">
        <v>60</v>
      </c>
      <c r="C9" s="7" t="s">
        <v>309</v>
      </c>
      <c r="D9" s="7" t="s">
        <v>310</v>
      </c>
      <c r="E9" s="7"/>
      <c r="F9" s="7"/>
    </row>
    <row r="10" spans="1:6" ht="42" customHeight="1">
      <c r="A10" s="7" t="s">
        <v>311</v>
      </c>
      <c r="B10" s="9">
        <v>90</v>
      </c>
      <c r="C10" s="7" t="s">
        <v>309</v>
      </c>
      <c r="D10" s="7" t="s">
        <v>310</v>
      </c>
      <c r="E10" s="7"/>
      <c r="F10" s="7"/>
    </row>
    <row r="11" spans="1:6" ht="42" customHeight="1">
      <c r="A11" s="7" t="s">
        <v>312</v>
      </c>
      <c r="B11" s="9">
        <v>75</v>
      </c>
      <c r="C11" s="7" t="s">
        <v>309</v>
      </c>
      <c r="D11" s="7" t="s">
        <v>313</v>
      </c>
      <c r="E11" s="7"/>
      <c r="F11" s="7"/>
    </row>
    <row r="12" spans="1:6" ht="42" customHeight="1">
      <c r="A12" s="7" t="s">
        <v>314</v>
      </c>
      <c r="B12" s="7">
        <v>50</v>
      </c>
      <c r="C12" s="7" t="s">
        <v>315</v>
      </c>
      <c r="D12" s="7" t="s">
        <v>316</v>
      </c>
      <c r="E12" s="7"/>
      <c r="F12" s="7"/>
    </row>
    <row r="13" spans="1:6" ht="22.9" customHeight="1">
      <c r="A13" s="1"/>
      <c r="B13" s="1"/>
      <c r="C13" s="1"/>
      <c r="D13" s="1"/>
      <c r="E13" s="1"/>
      <c r="F13" s="1"/>
    </row>
    <row r="14" spans="1:6" ht="22.9" customHeight="1">
      <c r="A14" s="1"/>
      <c r="B14" s="1"/>
      <c r="C14" s="1"/>
      <c r="D14" s="1"/>
      <c r="E14" s="1"/>
      <c r="F14" s="1"/>
    </row>
    <row r="15" spans="1:6" ht="25.15" customHeight="1">
      <c r="A15" s="25" t="s">
        <v>317</v>
      </c>
      <c r="B15" s="25"/>
      <c r="C15" s="25"/>
      <c r="D15" s="25"/>
      <c r="E15" s="25"/>
      <c r="F15" s="25"/>
    </row>
    <row r="16" spans="1:6" ht="22.9" customHeight="1">
      <c r="A16" s="1"/>
      <c r="B16" s="1"/>
      <c r="C16" s="1"/>
      <c r="D16" s="1"/>
      <c r="E16" s="1"/>
      <c r="F16" s="1"/>
    </row>
    <row r="17" spans="1:6" ht="22.9" customHeight="1">
      <c r="A17" s="1" t="s">
        <v>318</v>
      </c>
      <c r="B17" s="5">
        <v>2000</v>
      </c>
      <c r="C17" s="1"/>
      <c r="D17" s="1"/>
      <c r="E17" s="1"/>
      <c r="F17" s="1"/>
    </row>
    <row r="18" spans="1:6" ht="22.9" customHeight="1">
      <c r="A18" s="1" t="s">
        <v>319</v>
      </c>
      <c r="B18" s="5">
        <v>1100</v>
      </c>
      <c r="C18" s="1"/>
      <c r="D18" s="1"/>
      <c r="E18" s="1"/>
      <c r="F18" s="1"/>
    </row>
    <row r="19" spans="1:6" ht="22.9" customHeight="1">
      <c r="A19" s="1" t="s">
        <v>320</v>
      </c>
      <c r="B19" s="5">
        <v>0.15</v>
      </c>
      <c r="C19" s="1"/>
      <c r="D19" s="1"/>
      <c r="E19" s="1"/>
      <c r="F19" s="1"/>
    </row>
    <row r="20" spans="1:6" ht="22.9" customHeight="1">
      <c r="A20" s="1" t="s">
        <v>321</v>
      </c>
      <c r="B20" s="12">
        <v>0.01</v>
      </c>
      <c r="C20" s="1"/>
      <c r="D20" s="1"/>
      <c r="E20" s="1"/>
      <c r="F20" s="1"/>
    </row>
    <row r="21" spans="1:6" ht="22.9" customHeight="1">
      <c r="A21" s="1" t="s">
        <v>322</v>
      </c>
      <c r="B21" s="5">
        <v>5</v>
      </c>
      <c r="C21" s="1"/>
      <c r="D21" s="1"/>
      <c r="E21" s="1"/>
      <c r="F21" s="1"/>
    </row>
    <row r="22" spans="1:6" ht="22.9" customHeight="1">
      <c r="A22" s="1" t="s">
        <v>323</v>
      </c>
      <c r="B22" s="13">
        <f>IF(AND(COUNT(B17:B21)=5,MIN(B17:B21)&gt;=0,B20&lt;=1),B17*B18*(B19+B20*B21)/60,"")</f>
        <v>7333.333333333333</v>
      </c>
      <c r="C22" s="1"/>
      <c r="D22" s="1"/>
      <c r="E22" s="1"/>
      <c r="F22" s="1"/>
    </row>
    <row r="23" spans="1:6" ht="22.9" customHeight="1">
      <c r="A23" s="1" t="s">
        <v>324</v>
      </c>
      <c r="B23" s="1" t="s">
        <v>325</v>
      </c>
      <c r="C23" s="1"/>
      <c r="D23" s="1"/>
      <c r="E23" s="1"/>
      <c r="F23" s="1"/>
    </row>
    <row r="24" spans="1:6" ht="22.9" customHeight="1">
      <c r="A24" s="1"/>
      <c r="B24" s="1"/>
      <c r="C24" s="1"/>
      <c r="D24" s="1"/>
      <c r="E24" s="1"/>
      <c r="F24" s="1"/>
    </row>
    <row r="25" spans="1:6" ht="22.9" customHeight="1">
      <c r="A25" s="21" t="s">
        <v>326</v>
      </c>
      <c r="B25" s="21"/>
      <c r="C25" s="21"/>
      <c r="D25" s="21"/>
      <c r="E25" s="21"/>
      <c r="F25" s="21"/>
    </row>
    <row r="26" spans="1:6" ht="22.9" customHeight="1">
      <c r="A26" s="21"/>
      <c r="B26" s="21"/>
      <c r="C26" s="21"/>
      <c r="D26" s="21"/>
      <c r="E26" s="21"/>
      <c r="F26" s="21"/>
    </row>
    <row r="27" spans="1:6" ht="22.9" customHeight="1">
      <c r="A27" s="21"/>
      <c r="B27" s="21"/>
      <c r="C27" s="21"/>
      <c r="D27" s="21"/>
      <c r="E27" s="21"/>
      <c r="F27" s="21"/>
    </row>
    <row r="28" spans="1:6" ht="22.9" customHeight="1">
      <c r="A28" s="21"/>
      <c r="B28" s="21"/>
      <c r="C28" s="21"/>
      <c r="D28" s="21"/>
      <c r="E28" s="21"/>
      <c r="F28" s="21"/>
    </row>
    <row r="29" spans="1:6" ht="22.9" customHeight="1">
      <c r="A29" s="1"/>
      <c r="B29" s="1"/>
      <c r="C29" s="1"/>
      <c r="D29" s="1"/>
      <c r="E29" s="1"/>
      <c r="F29" s="1"/>
    </row>
    <row r="30" spans="1:6" ht="22.9" customHeight="1">
      <c r="A30" s="1"/>
      <c r="B30" s="1"/>
      <c r="C30" s="1"/>
      <c r="D30" s="1"/>
      <c r="E30" s="1"/>
      <c r="F30" s="1"/>
    </row>
    <row r="31" spans="1:6" ht="22.9" customHeight="1">
      <c r="A31" s="1"/>
      <c r="B31" s="1"/>
      <c r="C31" s="1"/>
      <c r="D31" s="1"/>
      <c r="E31" s="1"/>
      <c r="F31" s="1"/>
    </row>
    <row r="32" spans="1:6" ht="22.9" customHeight="1">
      <c r="A32" s="1"/>
      <c r="B32" s="1"/>
      <c r="C32" s="1"/>
      <c r="D32" s="1"/>
      <c r="E32" s="1"/>
      <c r="F32" s="1"/>
    </row>
    <row r="33" spans="1:6" ht="22.9" customHeight="1">
      <c r="A33" s="1"/>
      <c r="B33" s="1"/>
      <c r="C33" s="1"/>
      <c r="D33" s="1"/>
      <c r="E33" s="1"/>
      <c r="F33" s="1"/>
    </row>
    <row r="34" spans="1:6" ht="22.9" customHeight="1">
      <c r="A34" s="1"/>
      <c r="B34" s="1"/>
      <c r="C34" s="1"/>
      <c r="D34" s="1"/>
      <c r="E34" s="1"/>
      <c r="F34" s="1"/>
    </row>
    <row r="35" spans="1:6" ht="22.9" customHeight="1">
      <c r="A35" s="1"/>
      <c r="B35" s="1"/>
      <c r="C35" s="1"/>
      <c r="D35" s="1"/>
      <c r="E35" s="1"/>
      <c r="F35" s="1"/>
    </row>
    <row r="36" spans="1:6" ht="22.9" customHeight="1">
      <c r="A36" s="1"/>
      <c r="B36" s="1"/>
      <c r="C36" s="1"/>
      <c r="D36" s="1"/>
      <c r="E36" s="1"/>
      <c r="F36" s="1"/>
    </row>
    <row r="37" spans="1:6" ht="22.9" customHeight="1">
      <c r="A37" s="1"/>
      <c r="B37" s="1"/>
      <c r="C37" s="1"/>
      <c r="D37" s="1"/>
      <c r="E37" s="1"/>
      <c r="F37" s="1"/>
    </row>
    <row r="38" spans="1:6" ht="22.9" customHeight="1">
      <c r="A38" s="1"/>
      <c r="B38" s="1"/>
      <c r="C38" s="1"/>
      <c r="D38" s="1"/>
      <c r="E38" s="1"/>
      <c r="F38" s="1"/>
    </row>
    <row r="39" spans="1:6" ht="22.9" customHeight="1">
      <c r="A39" s="1"/>
      <c r="B39" s="1"/>
      <c r="C39" s="1"/>
      <c r="D39" s="1"/>
      <c r="E39" s="1"/>
      <c r="F39" s="1"/>
    </row>
    <row r="40" spans="1:6" ht="22.9" customHeight="1">
      <c r="A40" s="1"/>
      <c r="B40" s="1"/>
      <c r="C40" s="1"/>
      <c r="D40" s="1"/>
      <c r="E40" s="1"/>
      <c r="F40" s="1"/>
    </row>
    <row r="41" spans="1:6" ht="22.9" customHeight="1">
      <c r="A41" s="1"/>
      <c r="B41" s="1"/>
      <c r="C41" s="1"/>
      <c r="D41" s="1"/>
      <c r="E41" s="1"/>
      <c r="F41" s="1"/>
    </row>
    <row r="42" spans="1:6" ht="22.9" customHeight="1">
      <c r="A42" s="1"/>
      <c r="B42" s="1"/>
      <c r="C42" s="1"/>
      <c r="D42" s="1"/>
      <c r="E42" s="1"/>
      <c r="F42" s="1"/>
    </row>
    <row r="43" spans="1:6" ht="22.9" customHeight="1">
      <c r="A43" s="1"/>
      <c r="B43" s="1"/>
      <c r="C43" s="1"/>
      <c r="D43" s="1"/>
      <c r="E43" s="1"/>
      <c r="F43" s="1"/>
    </row>
    <row r="44" spans="1:6" ht="22.9" customHeight="1">
      <c r="A44" s="1"/>
      <c r="B44" s="1"/>
      <c r="C44" s="1"/>
      <c r="D44" s="1"/>
      <c r="E44" s="1"/>
      <c r="F44" s="1"/>
    </row>
    <row r="45" spans="1:6" ht="22.9" customHeight="1">
      <c r="A45" s="1"/>
      <c r="B45" s="1"/>
      <c r="C45" s="1"/>
      <c r="D45" s="1"/>
      <c r="E45" s="1"/>
      <c r="F45" s="1"/>
    </row>
    <row r="46" spans="1:6" ht="22.9" customHeight="1">
      <c r="A46" s="1"/>
      <c r="B46" s="1"/>
      <c r="C46" s="1"/>
      <c r="D46" s="1"/>
      <c r="E46" s="1"/>
      <c r="F46" s="1"/>
    </row>
    <row r="47" spans="1:6" ht="22.9" customHeight="1">
      <c r="A47" s="1"/>
      <c r="B47" s="1"/>
      <c r="C47" s="1"/>
      <c r="D47" s="1"/>
      <c r="E47" s="1"/>
      <c r="F47" s="1"/>
    </row>
    <row r="48" spans="1:6" ht="22.9" customHeight="1">
      <c r="A48" s="1"/>
      <c r="B48" s="1"/>
      <c r="C48" s="1"/>
      <c r="D48" s="1"/>
      <c r="E48" s="1"/>
      <c r="F48" s="1"/>
    </row>
    <row r="49" spans="1:6" ht="22.9" customHeight="1">
      <c r="A49" s="1"/>
      <c r="B49" s="1"/>
      <c r="C49" s="1"/>
      <c r="D49" s="1"/>
      <c r="E49" s="1"/>
      <c r="F49" s="1"/>
    </row>
    <row r="50" spans="1:6" ht="22.9" customHeight="1">
      <c r="A50" s="1"/>
      <c r="B50" s="1"/>
      <c r="C50" s="1"/>
      <c r="D50" s="1"/>
      <c r="E50" s="1"/>
      <c r="F50" s="1"/>
    </row>
    <row r="51" spans="1:6" ht="22.9" customHeight="1">
      <c r="A51" s="1"/>
      <c r="B51" s="1"/>
      <c r="C51" s="1"/>
      <c r="D51" s="1"/>
      <c r="E51" s="1"/>
      <c r="F51" s="1"/>
    </row>
    <row r="52" spans="1:6" ht="22.9" customHeight="1">
      <c r="A52" s="1"/>
      <c r="B52" s="1"/>
      <c r="C52" s="1"/>
      <c r="D52" s="1"/>
      <c r="E52" s="1"/>
      <c r="F52" s="1"/>
    </row>
    <row r="53" spans="1:6" ht="22.9" customHeight="1">
      <c r="A53" s="1"/>
      <c r="B53" s="1"/>
      <c r="C53" s="1"/>
      <c r="D53" s="1"/>
      <c r="E53" s="1"/>
      <c r="F53" s="1"/>
    </row>
    <row r="54" spans="1:6" ht="22.9" customHeight="1">
      <c r="A54" s="1"/>
      <c r="B54" s="1"/>
      <c r="C54" s="1"/>
      <c r="D54" s="1"/>
      <c r="E54" s="1"/>
      <c r="F54" s="1"/>
    </row>
    <row r="55" spans="1:6" ht="22.9" customHeight="1">
      <c r="A55" s="1"/>
      <c r="B55" s="1"/>
      <c r="C55" s="1"/>
      <c r="D55" s="1"/>
      <c r="E55" s="1"/>
      <c r="F55" s="1"/>
    </row>
    <row r="56" spans="1:6" ht="22.9" customHeight="1">
      <c r="A56" s="1"/>
      <c r="B56" s="1"/>
      <c r="C56" s="1"/>
      <c r="D56" s="1"/>
      <c r="E56" s="1"/>
      <c r="F56" s="1"/>
    </row>
    <row r="57" spans="1:6" ht="22.9" customHeight="1">
      <c r="A57" s="1"/>
      <c r="B57" s="1"/>
      <c r="C57" s="1"/>
      <c r="D57" s="1"/>
      <c r="E57" s="1"/>
      <c r="F57" s="1"/>
    </row>
    <row r="58" spans="1:6" ht="22.9" customHeight="1">
      <c r="A58" s="1"/>
      <c r="B58" s="1"/>
      <c r="C58" s="1"/>
      <c r="D58" s="1"/>
      <c r="E58" s="1"/>
      <c r="F58" s="1"/>
    </row>
    <row r="59" spans="1:6" ht="22.9" customHeight="1">
      <c r="A59" s="1"/>
      <c r="B59" s="1"/>
      <c r="C59" s="1"/>
      <c r="D59" s="1"/>
      <c r="E59" s="1"/>
      <c r="F59" s="1"/>
    </row>
    <row r="60" spans="1:6" ht="22.9" customHeight="1">
      <c r="A60" s="1"/>
      <c r="B60" s="1"/>
      <c r="C60" s="1"/>
      <c r="D60" s="1"/>
      <c r="E60" s="1"/>
      <c r="F60" s="1"/>
    </row>
    <row r="61" spans="1:6" ht="22.9" customHeight="1">
      <c r="A61" s="1"/>
      <c r="B61" s="1"/>
      <c r="C61" s="1"/>
      <c r="D61" s="1"/>
      <c r="E61" s="1"/>
      <c r="F61" s="1"/>
    </row>
    <row r="62" spans="1:6" ht="22.9" customHeight="1">
      <c r="A62" s="1"/>
      <c r="B62" s="1"/>
      <c r="C62" s="1"/>
      <c r="D62" s="1"/>
      <c r="E62" s="1"/>
      <c r="F62" s="1"/>
    </row>
    <row r="63" spans="1:6" ht="22.9" customHeight="1">
      <c r="A63" s="1"/>
      <c r="B63" s="1"/>
      <c r="C63" s="1"/>
      <c r="D63" s="1"/>
      <c r="E63" s="1"/>
      <c r="F63" s="1"/>
    </row>
    <row r="64" spans="1:6" ht="22.9" customHeight="1">
      <c r="A64" s="1"/>
      <c r="B64" s="1"/>
      <c r="C64" s="1"/>
      <c r="D64" s="1"/>
      <c r="E64" s="1"/>
      <c r="F64" s="1"/>
    </row>
    <row r="65" spans="1:6" ht="22.9" customHeight="1">
      <c r="A65" s="1"/>
      <c r="B65" s="1"/>
      <c r="C65" s="1"/>
      <c r="D65" s="1"/>
      <c r="E65" s="1"/>
      <c r="F65" s="1"/>
    </row>
    <row r="66" spans="1:6" ht="22.9" customHeight="1">
      <c r="A66" s="1"/>
      <c r="B66" s="1"/>
      <c r="C66" s="1"/>
      <c r="D66" s="1"/>
      <c r="E66" s="1"/>
      <c r="F66" s="1"/>
    </row>
    <row r="67" spans="1:6" ht="22.9" customHeight="1">
      <c r="A67" s="1"/>
      <c r="B67" s="1"/>
      <c r="C67" s="1"/>
      <c r="D67" s="1"/>
      <c r="E67" s="1"/>
      <c r="F67" s="1"/>
    </row>
    <row r="68" spans="1:6" ht="22.9" customHeight="1">
      <c r="A68" s="1"/>
      <c r="B68" s="1"/>
      <c r="C68" s="1"/>
      <c r="D68" s="1"/>
      <c r="E68" s="1"/>
      <c r="F68" s="1"/>
    </row>
    <row r="69" spans="1:6" ht="22.9" customHeight="1">
      <c r="A69" s="1"/>
      <c r="B69" s="1"/>
      <c r="C69" s="1"/>
      <c r="D69" s="1"/>
      <c r="E69" s="1"/>
      <c r="F69" s="1"/>
    </row>
    <row r="70" spans="1:6" ht="22.9" customHeight="1">
      <c r="A70" s="1"/>
      <c r="B70" s="1"/>
      <c r="C70" s="1"/>
      <c r="D70" s="1"/>
      <c r="E70" s="1"/>
      <c r="F70" s="1"/>
    </row>
    <row r="71" spans="1:6" ht="22.9" customHeight="1">
      <c r="A71" s="1"/>
      <c r="B71" s="1"/>
      <c r="C71" s="1"/>
      <c r="D71" s="1"/>
      <c r="E71" s="1"/>
      <c r="F71" s="1"/>
    </row>
    <row r="72" spans="1:6" ht="22.9" customHeight="1">
      <c r="A72" s="1"/>
      <c r="B72" s="1"/>
      <c r="C72" s="1"/>
      <c r="D72" s="1"/>
      <c r="E72" s="1"/>
      <c r="F72" s="1"/>
    </row>
    <row r="73" spans="1:6" ht="22.9" customHeight="1">
      <c r="A73" s="1"/>
      <c r="B73" s="1"/>
      <c r="C73" s="1"/>
      <c r="D73" s="1"/>
      <c r="E73" s="1"/>
      <c r="F73" s="1"/>
    </row>
    <row r="74" spans="1:6" ht="22.9" customHeight="1">
      <c r="A74" s="1"/>
      <c r="B74" s="1"/>
      <c r="C74" s="1"/>
      <c r="D74" s="1"/>
      <c r="E74" s="1"/>
      <c r="F74" s="1"/>
    </row>
    <row r="75" spans="1:6" ht="22.9" customHeight="1">
      <c r="A75" s="1"/>
      <c r="B75" s="1"/>
      <c r="C75" s="1"/>
      <c r="D75" s="1"/>
      <c r="E75" s="1"/>
      <c r="F75" s="1"/>
    </row>
    <row r="76" spans="1:6" ht="22.9" customHeight="1">
      <c r="A76" s="1"/>
      <c r="B76" s="1"/>
      <c r="C76" s="1"/>
      <c r="D76" s="1"/>
      <c r="E76" s="1"/>
      <c r="F76" s="1"/>
    </row>
    <row r="77" spans="1:6" ht="22.9" customHeight="1">
      <c r="A77" s="1"/>
      <c r="B77" s="1"/>
      <c r="C77" s="1"/>
      <c r="D77" s="1"/>
      <c r="E77" s="1"/>
      <c r="F77" s="1"/>
    </row>
    <row r="78" spans="1:6" ht="22.9" customHeight="1">
      <c r="A78" s="1"/>
      <c r="B78" s="1"/>
      <c r="C78" s="1"/>
      <c r="D78" s="1"/>
      <c r="E78" s="1"/>
      <c r="F78" s="1"/>
    </row>
    <row r="79" spans="1:6" ht="22.9" customHeight="1">
      <c r="A79" s="1"/>
      <c r="B79" s="1"/>
      <c r="C79" s="1"/>
      <c r="D79" s="1"/>
      <c r="E79" s="1"/>
      <c r="F79" s="1"/>
    </row>
    <row r="80" spans="1:6" ht="22.9" customHeight="1">
      <c r="A80" s="1"/>
      <c r="B80" s="1"/>
      <c r="C80" s="1"/>
      <c r="D80" s="1"/>
      <c r="E80" s="1"/>
      <c r="F80" s="1"/>
    </row>
  </sheetData>
  <mergeCells count="4">
    <mergeCell ref="A1:F2"/>
    <mergeCell ref="A3:F4"/>
    <mergeCell ref="A15:F15"/>
    <mergeCell ref="A25:F28"/>
  </mergeCells>
  <dataValidations count="3">
    <dataValidation type="list" allowBlank="1" showInputMessage="1" showErrorMessage="1" errorTitle="Choose a listed value" error="Use the dropdown. Blank means not yet known; it is not approval." promptTitle="Planning basis" prompt="Choose whether approved forecasts may supplement measured results." sqref="B8" xr:uid="{00000000-0002-0000-0A00-000000000000}">
      <formula1>"Approved + measured,Measured only"</formula1>
    </dataValidation>
    <dataValidation type="decimal" allowBlank="1" showInputMessage="1" showErrorMessage="1" errorTitle="Invalid number" error="Enter a valid number within the stated range." promptTitle="Required number" prompt="Enter a number; enter 0 only when zero is confirmed." sqref="B9:B11 B21 B17:B19" xr:uid="{00000000-0002-0000-0A00-000001000000}">
      <formula1>0</formula1>
      <formula2>1000000000000</formula2>
    </dataValidation>
    <dataValidation type="decimal" allowBlank="1" showInputMessage="1" showErrorMessage="1" errorTitle="Invalid number" error="Enter a valid number within the stated range." promptTitle="Required number" prompt="Enter a number; enter 0 only when zero is confirmed." sqref="B20" xr:uid="{00000000-0002-0000-0A00-000005000000}">
      <formula1>0</formula1>
      <formula2>1</formula2>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0"/>
  <sheetViews>
    <sheetView showGridLines="0" workbookViewId="0"/>
  </sheetViews>
  <sheetFormatPr baseColWidth="10" defaultColWidth="8.75" defaultRowHeight="14.25"/>
  <cols>
    <col min="1" max="10" width="13" customWidth="1"/>
  </cols>
  <sheetData>
    <row r="1" spans="1:10" ht="24" customHeight="1">
      <c r="A1" s="31" t="s">
        <v>327</v>
      </c>
      <c r="B1" s="31"/>
      <c r="C1" s="31"/>
      <c r="D1" s="31"/>
      <c r="E1" s="31"/>
      <c r="F1" s="31"/>
      <c r="G1" s="31"/>
      <c r="H1" s="31"/>
      <c r="I1" s="31"/>
      <c r="J1" s="31"/>
    </row>
    <row r="2" spans="1:10" ht="24" customHeight="1">
      <c r="A2" s="31"/>
      <c r="B2" s="31"/>
      <c r="C2" s="31"/>
      <c r="D2" s="31"/>
      <c r="E2" s="31"/>
      <c r="F2" s="31"/>
      <c r="G2" s="31"/>
      <c r="H2" s="31"/>
      <c r="I2" s="31"/>
      <c r="J2" s="31"/>
    </row>
    <row r="3" spans="1:10" ht="22.15" customHeight="1">
      <c r="A3" s="32" t="s">
        <v>328</v>
      </c>
      <c r="B3" s="32"/>
      <c r="C3" s="32"/>
      <c r="D3" s="32"/>
      <c r="E3" s="32"/>
      <c r="F3" s="32"/>
      <c r="G3" s="32"/>
      <c r="H3" s="32"/>
      <c r="I3" s="32"/>
      <c r="J3" s="32"/>
    </row>
    <row r="4" spans="1:10" ht="22.15" customHeight="1">
      <c r="A4" s="32"/>
      <c r="B4" s="32"/>
      <c r="C4" s="32"/>
      <c r="D4" s="32"/>
      <c r="E4" s="32"/>
      <c r="F4" s="32"/>
      <c r="G4" s="32"/>
      <c r="H4" s="32"/>
      <c r="I4" s="32"/>
      <c r="J4" s="32"/>
    </row>
    <row r="5" spans="1:10" ht="22.9" customHeight="1">
      <c r="A5" s="4" t="str">
        <f>IFERROR(HYPERLINK("#'Start'!A1","← Start"),"← Start")</f>
        <v>← Start</v>
      </c>
      <c r="B5" s="1"/>
      <c r="C5" s="1"/>
      <c r="D5" s="1"/>
      <c r="E5" s="1"/>
      <c r="F5" s="1"/>
      <c r="G5" s="1"/>
      <c r="H5" s="1"/>
      <c r="I5" s="1"/>
      <c r="J5" s="1"/>
    </row>
    <row r="6" spans="1:10" ht="22.9" customHeight="1">
      <c r="A6" s="1"/>
      <c r="B6" s="1"/>
      <c r="C6" s="1"/>
      <c r="D6" s="1"/>
      <c r="E6" s="1"/>
      <c r="F6" s="1"/>
      <c r="G6" s="1"/>
      <c r="H6" s="1"/>
      <c r="I6" s="1"/>
      <c r="J6" s="1"/>
    </row>
    <row r="7" spans="1:10" ht="25.15" customHeight="1">
      <c r="A7" s="25" t="s">
        <v>329</v>
      </c>
      <c r="B7" s="25"/>
      <c r="C7" s="25"/>
      <c r="D7" s="25"/>
      <c r="E7" s="25"/>
      <c r="F7" s="25"/>
      <c r="G7" s="25"/>
      <c r="H7" s="25"/>
      <c r="I7" s="25"/>
      <c r="J7" s="25"/>
    </row>
    <row r="8" spans="1:10" ht="22.9" customHeight="1">
      <c r="A8" s="22" t="s">
        <v>330</v>
      </c>
      <c r="B8" s="22"/>
      <c r="C8" s="22"/>
      <c r="D8" s="22"/>
      <c r="E8" s="22"/>
      <c r="F8" s="22"/>
      <c r="G8" s="22"/>
      <c r="H8" s="22"/>
      <c r="I8" s="22"/>
      <c r="J8" s="22"/>
    </row>
    <row r="9" spans="1:10" ht="22.9" customHeight="1">
      <c r="A9" s="22"/>
      <c r="B9" s="22"/>
      <c r="C9" s="22"/>
      <c r="D9" s="22"/>
      <c r="E9" s="22"/>
      <c r="F9" s="22"/>
      <c r="G9" s="22"/>
      <c r="H9" s="22"/>
      <c r="I9" s="22"/>
      <c r="J9" s="22"/>
    </row>
    <row r="10" spans="1:10" ht="22.9" customHeight="1">
      <c r="A10" s="22"/>
      <c r="B10" s="22"/>
      <c r="C10" s="22"/>
      <c r="D10" s="22"/>
      <c r="E10" s="22"/>
      <c r="F10" s="22"/>
      <c r="G10" s="22"/>
      <c r="H10" s="22"/>
      <c r="I10" s="22"/>
      <c r="J10" s="22"/>
    </row>
    <row r="11" spans="1:10" ht="22.9" customHeight="1">
      <c r="A11" s="22"/>
      <c r="B11" s="22"/>
      <c r="C11" s="22"/>
      <c r="D11" s="22"/>
      <c r="E11" s="22"/>
      <c r="F11" s="22"/>
      <c r="G11" s="22"/>
      <c r="H11" s="22"/>
      <c r="I11" s="22"/>
      <c r="J11" s="22"/>
    </row>
    <row r="12" spans="1:10" ht="22.9" customHeight="1">
      <c r="A12" s="1"/>
      <c r="B12" s="1"/>
      <c r="C12" s="1"/>
      <c r="D12" s="1"/>
      <c r="E12" s="1"/>
      <c r="F12" s="1"/>
      <c r="G12" s="1"/>
      <c r="H12" s="1"/>
      <c r="I12" s="1"/>
      <c r="J12" s="1"/>
    </row>
    <row r="13" spans="1:10" ht="25.15" customHeight="1">
      <c r="A13" s="25" t="s">
        <v>331</v>
      </c>
      <c r="B13" s="25"/>
      <c r="C13" s="25"/>
      <c r="D13" s="25"/>
      <c r="E13" s="25"/>
      <c r="F13" s="25"/>
      <c r="G13" s="25"/>
      <c r="H13" s="25"/>
      <c r="I13" s="25"/>
      <c r="J13" s="25"/>
    </row>
    <row r="14" spans="1:10" ht="22.9" customHeight="1">
      <c r="A14" s="22" t="s">
        <v>332</v>
      </c>
      <c r="B14" s="22"/>
      <c r="C14" s="22"/>
      <c r="D14" s="22"/>
      <c r="E14" s="22"/>
      <c r="F14" s="22"/>
      <c r="G14" s="22"/>
      <c r="H14" s="22"/>
      <c r="I14" s="22"/>
      <c r="J14" s="22"/>
    </row>
    <row r="15" spans="1:10" ht="22.9" customHeight="1">
      <c r="A15" s="22"/>
      <c r="B15" s="22"/>
      <c r="C15" s="22"/>
      <c r="D15" s="22"/>
      <c r="E15" s="22"/>
      <c r="F15" s="22"/>
      <c r="G15" s="22"/>
      <c r="H15" s="22"/>
      <c r="I15" s="22"/>
      <c r="J15" s="22"/>
    </row>
    <row r="16" spans="1:10" ht="22.9" customHeight="1">
      <c r="A16" s="22"/>
      <c r="B16" s="22"/>
      <c r="C16" s="22"/>
      <c r="D16" s="22"/>
      <c r="E16" s="22"/>
      <c r="F16" s="22"/>
      <c r="G16" s="22"/>
      <c r="H16" s="22"/>
      <c r="I16" s="22"/>
      <c r="J16" s="22"/>
    </row>
    <row r="17" spans="1:10" ht="22.9" customHeight="1">
      <c r="A17" s="22"/>
      <c r="B17" s="22"/>
      <c r="C17" s="22"/>
      <c r="D17" s="22"/>
      <c r="E17" s="22"/>
      <c r="F17" s="22"/>
      <c r="G17" s="22"/>
      <c r="H17" s="22"/>
      <c r="I17" s="22"/>
      <c r="J17" s="22"/>
    </row>
    <row r="18" spans="1:10" ht="22.9" customHeight="1">
      <c r="A18" s="22"/>
      <c r="B18" s="22"/>
      <c r="C18" s="22"/>
      <c r="D18" s="22"/>
      <c r="E18" s="22"/>
      <c r="F18" s="22"/>
      <c r="G18" s="22"/>
      <c r="H18" s="22"/>
      <c r="I18" s="22"/>
      <c r="J18" s="22"/>
    </row>
    <row r="19" spans="1:10" ht="22.9" customHeight="1">
      <c r="A19" s="22"/>
      <c r="B19" s="22"/>
      <c r="C19" s="22"/>
      <c r="D19" s="22"/>
      <c r="E19" s="22"/>
      <c r="F19" s="22"/>
      <c r="G19" s="22"/>
      <c r="H19" s="22"/>
      <c r="I19" s="22"/>
      <c r="J19" s="22"/>
    </row>
    <row r="20" spans="1:10" ht="22.9" customHeight="1">
      <c r="A20" s="1"/>
      <c r="B20" s="1"/>
      <c r="C20" s="1"/>
      <c r="D20" s="1"/>
      <c r="E20" s="1"/>
      <c r="F20" s="1"/>
      <c r="G20" s="1"/>
      <c r="H20" s="1"/>
      <c r="I20" s="1"/>
      <c r="J20" s="1"/>
    </row>
    <row r="21" spans="1:10" ht="25.15" customHeight="1">
      <c r="A21" s="25" t="s">
        <v>333</v>
      </c>
      <c r="B21" s="25"/>
      <c r="C21" s="25"/>
      <c r="D21" s="25"/>
      <c r="E21" s="25"/>
      <c r="F21" s="25"/>
      <c r="G21" s="25"/>
      <c r="H21" s="25"/>
      <c r="I21" s="25"/>
      <c r="J21" s="25"/>
    </row>
    <row r="22" spans="1:10" ht="22.9" customHeight="1">
      <c r="A22" s="22" t="s">
        <v>334</v>
      </c>
      <c r="B22" s="22"/>
      <c r="C22" s="22"/>
      <c r="D22" s="22"/>
      <c r="E22" s="22"/>
      <c r="F22" s="22"/>
      <c r="G22" s="22"/>
      <c r="H22" s="22"/>
      <c r="I22" s="22"/>
      <c r="J22" s="22"/>
    </row>
    <row r="23" spans="1:10" ht="22.9" customHeight="1">
      <c r="A23" s="22"/>
      <c r="B23" s="22"/>
      <c r="C23" s="22"/>
      <c r="D23" s="22"/>
      <c r="E23" s="22"/>
      <c r="F23" s="22"/>
      <c r="G23" s="22"/>
      <c r="H23" s="22"/>
      <c r="I23" s="22"/>
      <c r="J23" s="22"/>
    </row>
    <row r="24" spans="1:10" ht="22.9" customHeight="1">
      <c r="A24" s="22"/>
      <c r="B24" s="22"/>
      <c r="C24" s="22"/>
      <c r="D24" s="22"/>
      <c r="E24" s="22"/>
      <c r="F24" s="22"/>
      <c r="G24" s="22"/>
      <c r="H24" s="22"/>
      <c r="I24" s="22"/>
      <c r="J24" s="22"/>
    </row>
    <row r="25" spans="1:10" ht="22.9" customHeight="1">
      <c r="A25" s="22"/>
      <c r="B25" s="22"/>
      <c r="C25" s="22"/>
      <c r="D25" s="22"/>
      <c r="E25" s="22"/>
      <c r="F25" s="22"/>
      <c r="G25" s="22"/>
      <c r="H25" s="22"/>
      <c r="I25" s="22"/>
      <c r="J25" s="22"/>
    </row>
    <row r="26" spans="1:10" ht="22.9" customHeight="1">
      <c r="A26" s="22"/>
      <c r="B26" s="22"/>
      <c r="C26" s="22"/>
      <c r="D26" s="22"/>
      <c r="E26" s="22"/>
      <c r="F26" s="22"/>
      <c r="G26" s="22"/>
      <c r="H26" s="22"/>
      <c r="I26" s="22"/>
      <c r="J26" s="22"/>
    </row>
    <row r="27" spans="1:10" ht="22.9" customHeight="1">
      <c r="A27" s="22"/>
      <c r="B27" s="22"/>
      <c r="C27" s="22"/>
      <c r="D27" s="22"/>
      <c r="E27" s="22"/>
      <c r="F27" s="22"/>
      <c r="G27" s="22"/>
      <c r="H27" s="22"/>
      <c r="I27" s="22"/>
      <c r="J27" s="22"/>
    </row>
    <row r="28" spans="1:10" ht="22.9" customHeight="1">
      <c r="A28" s="1"/>
      <c r="B28" s="1"/>
      <c r="C28" s="1"/>
      <c r="D28" s="1"/>
      <c r="E28" s="1"/>
      <c r="F28" s="1"/>
      <c r="G28" s="1"/>
      <c r="H28" s="1"/>
      <c r="I28" s="1"/>
      <c r="J28" s="1"/>
    </row>
    <row r="29" spans="1:10" ht="25.15" customHeight="1">
      <c r="A29" s="25" t="s">
        <v>335</v>
      </c>
      <c r="B29" s="25"/>
      <c r="C29" s="25"/>
      <c r="D29" s="25"/>
      <c r="E29" s="25"/>
      <c r="F29" s="25"/>
      <c r="G29" s="25"/>
      <c r="H29" s="25"/>
      <c r="I29" s="25"/>
      <c r="J29" s="25"/>
    </row>
    <row r="30" spans="1:10" ht="22.9" customHeight="1">
      <c r="A30" s="22" t="s">
        <v>336</v>
      </c>
      <c r="B30" s="22"/>
      <c r="C30" s="22"/>
      <c r="D30" s="22"/>
      <c r="E30" s="22"/>
      <c r="F30" s="22"/>
      <c r="G30" s="22"/>
      <c r="H30" s="22"/>
      <c r="I30" s="22"/>
      <c r="J30" s="22"/>
    </row>
    <row r="31" spans="1:10" ht="22.9" customHeight="1">
      <c r="A31" s="22"/>
      <c r="B31" s="22"/>
      <c r="C31" s="22"/>
      <c r="D31" s="22"/>
      <c r="E31" s="22"/>
      <c r="F31" s="22"/>
      <c r="G31" s="22"/>
      <c r="H31" s="22"/>
      <c r="I31" s="22"/>
      <c r="J31" s="22"/>
    </row>
    <row r="32" spans="1:10" ht="22.9" customHeight="1">
      <c r="A32" s="22"/>
      <c r="B32" s="22"/>
      <c r="C32" s="22"/>
      <c r="D32" s="22"/>
      <c r="E32" s="22"/>
      <c r="F32" s="22"/>
      <c r="G32" s="22"/>
      <c r="H32" s="22"/>
      <c r="I32" s="22"/>
      <c r="J32" s="22"/>
    </row>
    <row r="33" spans="1:10" ht="22.9" customHeight="1">
      <c r="A33" s="22"/>
      <c r="B33" s="22"/>
      <c r="C33" s="22"/>
      <c r="D33" s="22"/>
      <c r="E33" s="22"/>
      <c r="F33" s="22"/>
      <c r="G33" s="22"/>
      <c r="H33" s="22"/>
      <c r="I33" s="22"/>
      <c r="J33" s="22"/>
    </row>
    <row r="34" spans="1:10" ht="22.9" customHeight="1">
      <c r="A34" s="22"/>
      <c r="B34" s="22"/>
      <c r="C34" s="22"/>
      <c r="D34" s="22"/>
      <c r="E34" s="22"/>
      <c r="F34" s="22"/>
      <c r="G34" s="22"/>
      <c r="H34" s="22"/>
      <c r="I34" s="22"/>
      <c r="J34" s="22"/>
    </row>
    <row r="35" spans="1:10" ht="22.9" customHeight="1">
      <c r="A35" s="22"/>
      <c r="B35" s="22"/>
      <c r="C35" s="22"/>
      <c r="D35" s="22"/>
      <c r="E35" s="22"/>
      <c r="F35" s="22"/>
      <c r="G35" s="22"/>
      <c r="H35" s="22"/>
      <c r="I35" s="22"/>
      <c r="J35" s="22"/>
    </row>
    <row r="36" spans="1:10" ht="22.9" customHeight="1">
      <c r="A36" s="1"/>
      <c r="B36" s="1"/>
      <c r="C36" s="1"/>
      <c r="D36" s="1"/>
      <c r="E36" s="1"/>
      <c r="F36" s="1"/>
      <c r="G36" s="1"/>
      <c r="H36" s="1"/>
      <c r="I36" s="1"/>
      <c r="J36" s="1"/>
    </row>
    <row r="37" spans="1:10" ht="25.15" customHeight="1">
      <c r="A37" s="25" t="s">
        <v>337</v>
      </c>
      <c r="B37" s="25"/>
      <c r="C37" s="25"/>
      <c r="D37" s="25"/>
      <c r="E37" s="25"/>
      <c r="F37" s="25"/>
      <c r="G37" s="25"/>
      <c r="H37" s="25"/>
      <c r="I37" s="25"/>
      <c r="J37" s="25"/>
    </row>
    <row r="38" spans="1:10" ht="22.9" customHeight="1">
      <c r="A38" s="22" t="s">
        <v>338</v>
      </c>
      <c r="B38" s="22"/>
      <c r="C38" s="22"/>
      <c r="D38" s="22"/>
      <c r="E38" s="22"/>
      <c r="F38" s="22"/>
      <c r="G38" s="22"/>
      <c r="H38" s="22"/>
      <c r="I38" s="22"/>
      <c r="J38" s="22"/>
    </row>
    <row r="39" spans="1:10" ht="22.9" customHeight="1">
      <c r="A39" s="22"/>
      <c r="B39" s="22"/>
      <c r="C39" s="22"/>
      <c r="D39" s="22"/>
      <c r="E39" s="22"/>
      <c r="F39" s="22"/>
      <c r="G39" s="22"/>
      <c r="H39" s="22"/>
      <c r="I39" s="22"/>
      <c r="J39" s="22"/>
    </row>
    <row r="40" spans="1:10" ht="22.9" customHeight="1">
      <c r="A40" s="22"/>
      <c r="B40" s="22"/>
      <c r="C40" s="22"/>
      <c r="D40" s="22"/>
      <c r="E40" s="22"/>
      <c r="F40" s="22"/>
      <c r="G40" s="22"/>
      <c r="H40" s="22"/>
      <c r="I40" s="22"/>
      <c r="J40" s="22"/>
    </row>
    <row r="41" spans="1:10" ht="22.9" customHeight="1">
      <c r="A41" s="22"/>
      <c r="B41" s="22"/>
      <c r="C41" s="22"/>
      <c r="D41" s="22"/>
      <c r="E41" s="22"/>
      <c r="F41" s="22"/>
      <c r="G41" s="22"/>
      <c r="H41" s="22"/>
      <c r="I41" s="22"/>
      <c r="J41" s="22"/>
    </row>
    <row r="42" spans="1:10" ht="22.9" customHeight="1">
      <c r="A42" s="22"/>
      <c r="B42" s="22"/>
      <c r="C42" s="22"/>
      <c r="D42" s="22"/>
      <c r="E42" s="22"/>
      <c r="F42" s="22"/>
      <c r="G42" s="22"/>
      <c r="H42" s="22"/>
      <c r="I42" s="22"/>
      <c r="J42" s="22"/>
    </row>
    <row r="43" spans="1:10" ht="22.9" customHeight="1">
      <c r="A43" s="22"/>
      <c r="B43" s="22"/>
      <c r="C43" s="22"/>
      <c r="D43" s="22"/>
      <c r="E43" s="22"/>
      <c r="F43" s="22"/>
      <c r="G43" s="22"/>
      <c r="H43" s="22"/>
      <c r="I43" s="22"/>
      <c r="J43" s="22"/>
    </row>
    <row r="44" spans="1:10" ht="22.9" customHeight="1">
      <c r="A44" s="22"/>
      <c r="B44" s="22"/>
      <c r="C44" s="22"/>
      <c r="D44" s="22"/>
      <c r="E44" s="22"/>
      <c r="F44" s="22"/>
      <c r="G44" s="22"/>
      <c r="H44" s="22"/>
      <c r="I44" s="22"/>
      <c r="J44" s="22"/>
    </row>
    <row r="45" spans="1:10" ht="22.9" customHeight="1">
      <c r="A45" s="1"/>
      <c r="B45" s="1"/>
      <c r="C45" s="1"/>
      <c r="D45" s="1"/>
      <c r="E45" s="1"/>
      <c r="F45" s="1"/>
      <c r="G45" s="1"/>
      <c r="H45" s="1"/>
      <c r="I45" s="1"/>
      <c r="J45" s="1"/>
    </row>
    <row r="46" spans="1:10" ht="25.15" customHeight="1">
      <c r="A46" s="25" t="s">
        <v>339</v>
      </c>
      <c r="B46" s="25"/>
      <c r="C46" s="25"/>
      <c r="D46" s="25"/>
      <c r="E46" s="25"/>
      <c r="F46" s="25"/>
      <c r="G46" s="25"/>
      <c r="H46" s="25"/>
      <c r="I46" s="25"/>
      <c r="J46" s="25"/>
    </row>
    <row r="47" spans="1:10" ht="22.9" customHeight="1">
      <c r="A47" s="22" t="s">
        <v>340</v>
      </c>
      <c r="B47" s="22"/>
      <c r="C47" s="22"/>
      <c r="D47" s="22"/>
      <c r="E47" s="22"/>
      <c r="F47" s="22"/>
      <c r="G47" s="22"/>
      <c r="H47" s="22"/>
      <c r="I47" s="22"/>
      <c r="J47" s="22"/>
    </row>
    <row r="48" spans="1:10" ht="22.9" customHeight="1">
      <c r="A48" s="22"/>
      <c r="B48" s="22"/>
      <c r="C48" s="22"/>
      <c r="D48" s="22"/>
      <c r="E48" s="22"/>
      <c r="F48" s="22"/>
      <c r="G48" s="22"/>
      <c r="H48" s="22"/>
      <c r="I48" s="22"/>
      <c r="J48" s="22"/>
    </row>
    <row r="49" spans="1:10" ht="22.9" customHeight="1">
      <c r="A49" s="22"/>
      <c r="B49" s="22"/>
      <c r="C49" s="22"/>
      <c r="D49" s="22"/>
      <c r="E49" s="22"/>
      <c r="F49" s="22"/>
      <c r="G49" s="22"/>
      <c r="H49" s="22"/>
      <c r="I49" s="22"/>
      <c r="J49" s="22"/>
    </row>
    <row r="50" spans="1:10" ht="22.9" customHeight="1">
      <c r="A50" s="22"/>
      <c r="B50" s="22"/>
      <c r="C50" s="22"/>
      <c r="D50" s="22"/>
      <c r="E50" s="22"/>
      <c r="F50" s="22"/>
      <c r="G50" s="22"/>
      <c r="H50" s="22"/>
      <c r="I50" s="22"/>
      <c r="J50" s="22"/>
    </row>
    <row r="51" spans="1:10" ht="22.9" customHeight="1">
      <c r="A51" s="22"/>
      <c r="B51" s="22"/>
      <c r="C51" s="22"/>
      <c r="D51" s="22"/>
      <c r="E51" s="22"/>
      <c r="F51" s="22"/>
      <c r="G51" s="22"/>
      <c r="H51" s="22"/>
      <c r="I51" s="22"/>
      <c r="J51" s="22"/>
    </row>
    <row r="52" spans="1:10" ht="22.9" customHeight="1">
      <c r="A52" s="22"/>
      <c r="B52" s="22"/>
      <c r="C52" s="22"/>
      <c r="D52" s="22"/>
      <c r="E52" s="22"/>
      <c r="F52" s="22"/>
      <c r="G52" s="22"/>
      <c r="H52" s="22"/>
      <c r="I52" s="22"/>
      <c r="J52" s="22"/>
    </row>
    <row r="53" spans="1:10" ht="22.9" customHeight="1">
      <c r="A53" s="22"/>
      <c r="B53" s="22"/>
      <c r="C53" s="22"/>
      <c r="D53" s="22"/>
      <c r="E53" s="22"/>
      <c r="F53" s="22"/>
      <c r="G53" s="22"/>
      <c r="H53" s="22"/>
      <c r="I53" s="22"/>
      <c r="J53" s="22"/>
    </row>
    <row r="54" spans="1:10" ht="22.9" customHeight="1">
      <c r="A54" s="1"/>
      <c r="B54" s="1"/>
      <c r="C54" s="1"/>
      <c r="D54" s="1"/>
      <c r="E54" s="1"/>
      <c r="F54" s="1"/>
      <c r="G54" s="1"/>
      <c r="H54" s="1"/>
      <c r="I54" s="1"/>
      <c r="J54" s="1"/>
    </row>
    <row r="55" spans="1:10" ht="25.15" customHeight="1">
      <c r="A55" s="25" t="s">
        <v>341</v>
      </c>
      <c r="B55" s="25"/>
      <c r="C55" s="25"/>
      <c r="D55" s="25"/>
      <c r="E55" s="25"/>
      <c r="F55" s="25"/>
      <c r="G55" s="25"/>
      <c r="H55" s="25"/>
      <c r="I55" s="25"/>
      <c r="J55" s="25"/>
    </row>
    <row r="56" spans="1:10" ht="22.9" customHeight="1">
      <c r="A56" s="22" t="s">
        <v>342</v>
      </c>
      <c r="B56" s="22"/>
      <c r="C56" s="22"/>
      <c r="D56" s="22"/>
      <c r="E56" s="22"/>
      <c r="F56" s="22"/>
      <c r="G56" s="22"/>
      <c r="H56" s="22"/>
      <c r="I56" s="22"/>
      <c r="J56" s="22"/>
    </row>
    <row r="57" spans="1:10" ht="22.9" customHeight="1">
      <c r="A57" s="22"/>
      <c r="B57" s="22"/>
      <c r="C57" s="22"/>
      <c r="D57" s="22"/>
      <c r="E57" s="22"/>
      <c r="F57" s="22"/>
      <c r="G57" s="22"/>
      <c r="H57" s="22"/>
      <c r="I57" s="22"/>
      <c r="J57" s="22"/>
    </row>
    <row r="58" spans="1:10" ht="22.9" customHeight="1">
      <c r="A58" s="22"/>
      <c r="B58" s="22"/>
      <c r="C58" s="22"/>
      <c r="D58" s="22"/>
      <c r="E58" s="22"/>
      <c r="F58" s="22"/>
      <c r="G58" s="22"/>
      <c r="H58" s="22"/>
      <c r="I58" s="22"/>
      <c r="J58" s="22"/>
    </row>
    <row r="59" spans="1:10" ht="22.9" customHeight="1">
      <c r="A59" s="22"/>
      <c r="B59" s="22"/>
      <c r="C59" s="22"/>
      <c r="D59" s="22"/>
      <c r="E59" s="22"/>
      <c r="F59" s="22"/>
      <c r="G59" s="22"/>
      <c r="H59" s="22"/>
      <c r="I59" s="22"/>
      <c r="J59" s="22"/>
    </row>
    <row r="60" spans="1:10" ht="22.9" customHeight="1">
      <c r="A60" s="22"/>
      <c r="B60" s="22"/>
      <c r="C60" s="22"/>
      <c r="D60" s="22"/>
      <c r="E60" s="22"/>
      <c r="F60" s="22"/>
      <c r="G60" s="22"/>
      <c r="H60" s="22"/>
      <c r="I60" s="22"/>
      <c r="J60" s="22"/>
    </row>
    <row r="61" spans="1:10" ht="22.9" customHeight="1">
      <c r="A61" s="22"/>
      <c r="B61" s="22"/>
      <c r="C61" s="22"/>
      <c r="D61" s="22"/>
      <c r="E61" s="22"/>
      <c r="F61" s="22"/>
      <c r="G61" s="22"/>
      <c r="H61" s="22"/>
      <c r="I61" s="22"/>
      <c r="J61" s="22"/>
    </row>
    <row r="62" spans="1:10" ht="22.9" customHeight="1">
      <c r="A62" s="1"/>
      <c r="B62" s="1"/>
      <c r="C62" s="1"/>
      <c r="D62" s="1"/>
      <c r="E62" s="1"/>
      <c r="F62" s="1"/>
      <c r="G62" s="1"/>
      <c r="H62" s="1"/>
      <c r="I62" s="1"/>
      <c r="J62" s="1"/>
    </row>
    <row r="63" spans="1:10" ht="25.15" customHeight="1">
      <c r="A63" s="25" t="s">
        <v>343</v>
      </c>
      <c r="B63" s="25"/>
      <c r="C63" s="25"/>
      <c r="D63" s="25"/>
      <c r="E63" s="25"/>
      <c r="F63" s="25"/>
      <c r="G63" s="25"/>
      <c r="H63" s="25"/>
      <c r="I63" s="25"/>
      <c r="J63" s="25"/>
    </row>
    <row r="64" spans="1:10" ht="22.9" customHeight="1">
      <c r="A64" s="22" t="s">
        <v>344</v>
      </c>
      <c r="B64" s="22"/>
      <c r="C64" s="22"/>
      <c r="D64" s="22"/>
      <c r="E64" s="22"/>
      <c r="F64" s="22"/>
      <c r="G64" s="22"/>
      <c r="H64" s="22"/>
      <c r="I64" s="22"/>
      <c r="J64" s="22"/>
    </row>
    <row r="65" spans="1:10" ht="22.9" customHeight="1">
      <c r="A65" s="22"/>
      <c r="B65" s="22"/>
      <c r="C65" s="22"/>
      <c r="D65" s="22"/>
      <c r="E65" s="22"/>
      <c r="F65" s="22"/>
      <c r="G65" s="22"/>
      <c r="H65" s="22"/>
      <c r="I65" s="22"/>
      <c r="J65" s="22"/>
    </row>
    <row r="66" spans="1:10" ht="22.9" customHeight="1">
      <c r="A66" s="22"/>
      <c r="B66" s="22"/>
      <c r="C66" s="22"/>
      <c r="D66" s="22"/>
      <c r="E66" s="22"/>
      <c r="F66" s="22"/>
      <c r="G66" s="22"/>
      <c r="H66" s="22"/>
      <c r="I66" s="22"/>
      <c r="J66" s="22"/>
    </row>
    <row r="67" spans="1:10" ht="22.9" customHeight="1">
      <c r="A67" s="22"/>
      <c r="B67" s="22"/>
      <c r="C67" s="22"/>
      <c r="D67" s="22"/>
      <c r="E67" s="22"/>
      <c r="F67" s="22"/>
      <c r="G67" s="22"/>
      <c r="H67" s="22"/>
      <c r="I67" s="22"/>
      <c r="J67" s="22"/>
    </row>
    <row r="68" spans="1:10" ht="22.9" customHeight="1">
      <c r="A68" s="22"/>
      <c r="B68" s="22"/>
      <c r="C68" s="22"/>
      <c r="D68" s="22"/>
      <c r="E68" s="22"/>
      <c r="F68" s="22"/>
      <c r="G68" s="22"/>
      <c r="H68" s="22"/>
      <c r="I68" s="22"/>
      <c r="J68" s="22"/>
    </row>
    <row r="69" spans="1:10" ht="22.9" customHeight="1">
      <c r="A69" s="22"/>
      <c r="B69" s="22"/>
      <c r="C69" s="22"/>
      <c r="D69" s="22"/>
      <c r="E69" s="22"/>
      <c r="F69" s="22"/>
      <c r="G69" s="22"/>
      <c r="H69" s="22"/>
      <c r="I69" s="22"/>
      <c r="J69" s="22"/>
    </row>
    <row r="70" spans="1:10" ht="22.9" customHeight="1">
      <c r="A70" s="22"/>
      <c r="B70" s="22"/>
      <c r="C70" s="22"/>
      <c r="D70" s="22"/>
      <c r="E70" s="22"/>
      <c r="F70" s="22"/>
      <c r="G70" s="22"/>
      <c r="H70" s="22"/>
      <c r="I70" s="22"/>
      <c r="J70" s="22"/>
    </row>
    <row r="71" spans="1:10" ht="22.9" customHeight="1">
      <c r="A71" s="1"/>
      <c r="B71" s="1"/>
      <c r="C71" s="1"/>
      <c r="D71" s="1"/>
      <c r="E71" s="1"/>
      <c r="F71" s="1"/>
      <c r="G71" s="1"/>
      <c r="H71" s="1"/>
      <c r="I71" s="1"/>
      <c r="J71" s="1"/>
    </row>
    <row r="72" spans="1:10" ht="22.9" customHeight="1">
      <c r="A72" s="1"/>
      <c r="B72" s="1"/>
      <c r="C72" s="1"/>
      <c r="D72" s="1"/>
      <c r="E72" s="1"/>
      <c r="F72" s="1"/>
      <c r="G72" s="1"/>
      <c r="H72" s="1"/>
      <c r="I72" s="1"/>
      <c r="J72" s="1"/>
    </row>
    <row r="73" spans="1:10" ht="22.9" customHeight="1">
      <c r="A73" s="1"/>
      <c r="B73" s="1"/>
      <c r="C73" s="1"/>
      <c r="D73" s="1"/>
      <c r="E73" s="1"/>
      <c r="F73" s="1"/>
      <c r="G73" s="1"/>
      <c r="H73" s="1"/>
      <c r="I73" s="1"/>
      <c r="J73" s="1"/>
    </row>
    <row r="74" spans="1:10" ht="22.9" customHeight="1">
      <c r="A74" s="1"/>
      <c r="B74" s="1"/>
      <c r="C74" s="1"/>
      <c r="D74" s="1"/>
      <c r="E74" s="1"/>
      <c r="F74" s="1"/>
      <c r="G74" s="1"/>
      <c r="H74" s="1"/>
      <c r="I74" s="1"/>
      <c r="J74" s="1"/>
    </row>
    <row r="75" spans="1:10" ht="22.9" customHeight="1">
      <c r="A75" s="1"/>
      <c r="B75" s="1"/>
      <c r="C75" s="1"/>
      <c r="D75" s="1"/>
      <c r="E75" s="1"/>
      <c r="F75" s="1"/>
      <c r="G75" s="1"/>
      <c r="H75" s="1"/>
      <c r="I75" s="1"/>
      <c r="J75" s="1"/>
    </row>
    <row r="76" spans="1:10" ht="22.9" customHeight="1">
      <c r="A76" s="1"/>
      <c r="B76" s="1"/>
      <c r="C76" s="1"/>
      <c r="D76" s="1"/>
      <c r="E76" s="1"/>
      <c r="F76" s="1"/>
      <c r="G76" s="1"/>
      <c r="H76" s="1"/>
      <c r="I76" s="1"/>
      <c r="J76" s="1"/>
    </row>
    <row r="77" spans="1:10" ht="22.9" customHeight="1">
      <c r="A77" s="1"/>
      <c r="B77" s="1"/>
      <c r="C77" s="1"/>
      <c r="D77" s="1"/>
      <c r="E77" s="1"/>
      <c r="F77" s="1"/>
      <c r="G77" s="1"/>
      <c r="H77" s="1"/>
      <c r="I77" s="1"/>
      <c r="J77" s="1"/>
    </row>
    <row r="78" spans="1:10" ht="22.9" customHeight="1">
      <c r="A78" s="1"/>
      <c r="B78" s="1"/>
      <c r="C78" s="1"/>
      <c r="D78" s="1"/>
      <c r="E78" s="1"/>
      <c r="F78" s="1"/>
      <c r="G78" s="1"/>
      <c r="H78" s="1"/>
      <c r="I78" s="1"/>
      <c r="J78" s="1"/>
    </row>
    <row r="79" spans="1:10" ht="22.9" customHeight="1">
      <c r="A79" s="1"/>
      <c r="B79" s="1"/>
      <c r="C79" s="1"/>
      <c r="D79" s="1"/>
      <c r="E79" s="1"/>
      <c r="F79" s="1"/>
      <c r="G79" s="1"/>
      <c r="H79" s="1"/>
      <c r="I79" s="1"/>
      <c r="J79" s="1"/>
    </row>
    <row r="80" spans="1:10" ht="22.9" customHeight="1">
      <c r="A80" s="1"/>
      <c r="B80" s="1"/>
      <c r="C80" s="1"/>
      <c r="D80" s="1"/>
      <c r="E80" s="1"/>
      <c r="F80" s="1"/>
      <c r="G80" s="1"/>
      <c r="H80" s="1"/>
      <c r="I80" s="1"/>
      <c r="J80" s="1"/>
    </row>
  </sheetData>
  <mergeCells count="18">
    <mergeCell ref="A1:J2"/>
    <mergeCell ref="A3:J4"/>
    <mergeCell ref="A7:J7"/>
    <mergeCell ref="A8:J11"/>
    <mergeCell ref="A13:J13"/>
    <mergeCell ref="A14:J19"/>
    <mergeCell ref="A21:J21"/>
    <mergeCell ref="A22:J27"/>
    <mergeCell ref="A29:J29"/>
    <mergeCell ref="A30:J35"/>
    <mergeCell ref="A56:J61"/>
    <mergeCell ref="A63:J63"/>
    <mergeCell ref="A64:J70"/>
    <mergeCell ref="A37:J37"/>
    <mergeCell ref="A38:J44"/>
    <mergeCell ref="A46:J46"/>
    <mergeCell ref="A47:J53"/>
    <mergeCell ref="A55:J55"/>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0"/>
  <sheetViews>
    <sheetView showGridLines="0" workbookViewId="0"/>
  </sheetViews>
  <sheetFormatPr baseColWidth="10" defaultColWidth="8.75" defaultRowHeight="14.25"/>
  <cols>
    <col min="1" max="1" width="13" customWidth="1"/>
    <col min="2" max="2" width="42" customWidth="1"/>
    <col min="3" max="3" width="55" customWidth="1"/>
    <col min="4" max="4" width="40" customWidth="1"/>
    <col min="5" max="5" width="46" customWidth="1"/>
    <col min="6" max="6" width="31" customWidth="1"/>
  </cols>
  <sheetData>
    <row r="1" spans="1:6" ht="24" customHeight="1">
      <c r="A1" s="31" t="s">
        <v>345</v>
      </c>
      <c r="B1" s="31"/>
      <c r="C1" s="31"/>
      <c r="D1" s="31"/>
      <c r="E1" s="31"/>
      <c r="F1" s="31"/>
    </row>
    <row r="2" spans="1:6" ht="24" customHeight="1">
      <c r="A2" s="31"/>
      <c r="B2" s="31"/>
      <c r="C2" s="31"/>
      <c r="D2" s="31"/>
      <c r="E2" s="31"/>
      <c r="F2" s="31"/>
    </row>
    <row r="3" spans="1:6" ht="22.15" customHeight="1">
      <c r="A3" s="32" t="s">
        <v>346</v>
      </c>
      <c r="B3" s="32"/>
      <c r="C3" s="32"/>
      <c r="D3" s="32"/>
      <c r="E3" s="32"/>
      <c r="F3" s="32"/>
    </row>
    <row r="4" spans="1:6" ht="22.15" customHeight="1">
      <c r="A4" s="32"/>
      <c r="B4" s="32"/>
      <c r="C4" s="32"/>
      <c r="D4" s="32"/>
      <c r="E4" s="32"/>
      <c r="F4" s="32"/>
    </row>
    <row r="5" spans="1:6" ht="22.9" customHeight="1">
      <c r="A5" s="4" t="str">
        <f>IFERROR(HYPERLINK("#'Start'!A1","← Start"),"← Start")</f>
        <v>← Start</v>
      </c>
      <c r="B5" s="1"/>
      <c r="C5" s="1"/>
      <c r="D5" s="1"/>
      <c r="E5" s="1"/>
      <c r="F5" s="1"/>
    </row>
    <row r="6" spans="1:6" ht="55.15" customHeight="1">
      <c r="A6" s="10" t="s">
        <v>347</v>
      </c>
      <c r="B6" s="10" t="s">
        <v>348</v>
      </c>
      <c r="C6" s="10" t="s">
        <v>349</v>
      </c>
      <c r="D6" s="10" t="s">
        <v>350</v>
      </c>
      <c r="E6" s="10" t="s">
        <v>351</v>
      </c>
      <c r="F6" s="10" t="s">
        <v>352</v>
      </c>
    </row>
    <row r="7" spans="1:6" ht="55.15" customHeight="1">
      <c r="A7" s="7">
        <v>1</v>
      </c>
      <c r="B7" s="7" t="s">
        <v>353</v>
      </c>
      <c r="C7" s="7" t="s">
        <v>354</v>
      </c>
      <c r="D7" s="7" t="s">
        <v>355</v>
      </c>
      <c r="E7" s="7" t="s">
        <v>356</v>
      </c>
      <c r="F7" s="7" t="s">
        <v>357</v>
      </c>
    </row>
    <row r="8" spans="1:6" ht="55.15" customHeight="1">
      <c r="A8" s="7">
        <v>2</v>
      </c>
      <c r="B8" s="7" t="s">
        <v>358</v>
      </c>
      <c r="C8" s="7" t="s">
        <v>359</v>
      </c>
      <c r="D8" s="7" t="s">
        <v>355</v>
      </c>
      <c r="E8" s="7" t="s">
        <v>356</v>
      </c>
      <c r="F8" s="7" t="s">
        <v>357</v>
      </c>
    </row>
    <row r="9" spans="1:6" ht="55.15" customHeight="1">
      <c r="A9" s="7">
        <v>3</v>
      </c>
      <c r="B9" s="7" t="s">
        <v>360</v>
      </c>
      <c r="C9" s="7" t="s">
        <v>361</v>
      </c>
      <c r="D9" s="7" t="s">
        <v>355</v>
      </c>
      <c r="E9" s="7" t="s">
        <v>356</v>
      </c>
      <c r="F9" s="7" t="s">
        <v>357</v>
      </c>
    </row>
    <row r="10" spans="1:6" ht="55.15" customHeight="1">
      <c r="A10" s="7">
        <v>4</v>
      </c>
      <c r="B10" s="7" t="s">
        <v>362</v>
      </c>
      <c r="C10" s="7" t="s">
        <v>363</v>
      </c>
      <c r="D10" s="7" t="s">
        <v>355</v>
      </c>
      <c r="E10" s="7" t="s">
        <v>356</v>
      </c>
      <c r="F10" s="7" t="s">
        <v>357</v>
      </c>
    </row>
    <row r="11" spans="1:6" ht="55.15" customHeight="1">
      <c r="A11" s="7">
        <v>5</v>
      </c>
      <c r="B11" s="7" t="s">
        <v>364</v>
      </c>
      <c r="C11" s="7" t="s">
        <v>365</v>
      </c>
      <c r="D11" s="7" t="s">
        <v>355</v>
      </c>
      <c r="E11" s="7" t="s">
        <v>356</v>
      </c>
      <c r="F11" s="7" t="s">
        <v>357</v>
      </c>
    </row>
    <row r="12" spans="1:6" ht="55.15" customHeight="1">
      <c r="A12" s="7">
        <v>6</v>
      </c>
      <c r="B12" s="7" t="s">
        <v>366</v>
      </c>
      <c r="C12" s="7" t="s">
        <v>367</v>
      </c>
      <c r="D12" s="7" t="s">
        <v>355</v>
      </c>
      <c r="E12" s="7" t="s">
        <v>356</v>
      </c>
      <c r="F12" s="7" t="s">
        <v>357</v>
      </c>
    </row>
    <row r="13" spans="1:6" ht="55.15" customHeight="1">
      <c r="A13" s="7">
        <v>7</v>
      </c>
      <c r="B13" s="7" t="s">
        <v>368</v>
      </c>
      <c r="C13" s="7" t="s">
        <v>369</v>
      </c>
      <c r="D13" s="7" t="s">
        <v>355</v>
      </c>
      <c r="E13" s="7" t="s">
        <v>356</v>
      </c>
      <c r="F13" s="7" t="s">
        <v>357</v>
      </c>
    </row>
    <row r="14" spans="1:6" ht="55.15" customHeight="1">
      <c r="A14" s="7">
        <v>8</v>
      </c>
      <c r="B14" s="7" t="s">
        <v>370</v>
      </c>
      <c r="C14" s="7" t="s">
        <v>371</v>
      </c>
      <c r="D14" s="7" t="s">
        <v>355</v>
      </c>
      <c r="E14" s="7" t="s">
        <v>356</v>
      </c>
      <c r="F14" s="7" t="s">
        <v>357</v>
      </c>
    </row>
    <row r="15" spans="1:6" ht="55.15" customHeight="1">
      <c r="A15" s="7">
        <v>9</v>
      </c>
      <c r="B15" s="7" t="s">
        <v>372</v>
      </c>
      <c r="C15" s="7" t="s">
        <v>373</v>
      </c>
      <c r="D15" s="7" t="s">
        <v>355</v>
      </c>
      <c r="E15" s="7" t="s">
        <v>356</v>
      </c>
      <c r="F15" s="7" t="s">
        <v>357</v>
      </c>
    </row>
    <row r="16" spans="1:6" ht="55.15" customHeight="1">
      <c r="A16" s="7">
        <v>10</v>
      </c>
      <c r="B16" s="7" t="s">
        <v>374</v>
      </c>
      <c r="C16" s="7" t="s">
        <v>375</v>
      </c>
      <c r="D16" s="7" t="s">
        <v>355</v>
      </c>
      <c r="E16" s="7" t="s">
        <v>356</v>
      </c>
      <c r="F16" s="7" t="s">
        <v>357</v>
      </c>
    </row>
    <row r="17" spans="1:6" ht="55.15" customHeight="1">
      <c r="A17" s="7">
        <v>11</v>
      </c>
      <c r="B17" s="7" t="s">
        <v>376</v>
      </c>
      <c r="C17" s="7" t="s">
        <v>377</v>
      </c>
      <c r="D17" s="7" t="s">
        <v>355</v>
      </c>
      <c r="E17" s="7" t="s">
        <v>356</v>
      </c>
      <c r="F17" s="7" t="s">
        <v>357</v>
      </c>
    </row>
    <row r="18" spans="1:6" ht="55.15" customHeight="1">
      <c r="A18" s="7">
        <v>12</v>
      </c>
      <c r="B18" s="7" t="s">
        <v>378</v>
      </c>
      <c r="C18" s="7" t="s">
        <v>379</v>
      </c>
      <c r="D18" s="7" t="s">
        <v>355</v>
      </c>
      <c r="E18" s="7" t="s">
        <v>356</v>
      </c>
      <c r="F18" s="7" t="s">
        <v>357</v>
      </c>
    </row>
    <row r="19" spans="1:6" ht="55.15" customHeight="1">
      <c r="A19" s="7">
        <v>13</v>
      </c>
      <c r="B19" s="7" t="s">
        <v>380</v>
      </c>
      <c r="C19" s="7" t="s">
        <v>381</v>
      </c>
      <c r="D19" s="7" t="s">
        <v>355</v>
      </c>
      <c r="E19" s="7" t="s">
        <v>356</v>
      </c>
      <c r="F19" s="7" t="s">
        <v>357</v>
      </c>
    </row>
    <row r="20" spans="1:6" ht="55.15" customHeight="1">
      <c r="A20" s="7">
        <v>14</v>
      </c>
      <c r="B20" s="7" t="s">
        <v>382</v>
      </c>
      <c r="C20" s="7" t="s">
        <v>383</v>
      </c>
      <c r="D20" s="7" t="s">
        <v>355</v>
      </c>
      <c r="E20" s="7" t="s">
        <v>356</v>
      </c>
      <c r="F20" s="7" t="s">
        <v>357</v>
      </c>
    </row>
    <row r="21" spans="1:6" ht="55.15" customHeight="1">
      <c r="A21" s="7">
        <v>15</v>
      </c>
      <c r="B21" s="7" t="s">
        <v>384</v>
      </c>
      <c r="C21" s="7" t="s">
        <v>385</v>
      </c>
      <c r="D21" s="7" t="s">
        <v>355</v>
      </c>
      <c r="E21" s="7" t="s">
        <v>356</v>
      </c>
      <c r="F21" s="7" t="s">
        <v>357</v>
      </c>
    </row>
    <row r="22" spans="1:6" ht="55.15" customHeight="1">
      <c r="A22" s="7">
        <v>16</v>
      </c>
      <c r="B22" s="7" t="s">
        <v>386</v>
      </c>
      <c r="C22" s="7" t="s">
        <v>387</v>
      </c>
      <c r="D22" s="7" t="s">
        <v>355</v>
      </c>
      <c r="E22" s="7" t="s">
        <v>356</v>
      </c>
      <c r="F22" s="7" t="s">
        <v>357</v>
      </c>
    </row>
    <row r="23" spans="1:6" ht="55.15" customHeight="1">
      <c r="A23" s="7">
        <v>17</v>
      </c>
      <c r="B23" s="7" t="s">
        <v>388</v>
      </c>
      <c r="C23" s="7" t="s">
        <v>389</v>
      </c>
      <c r="D23" s="7" t="s">
        <v>355</v>
      </c>
      <c r="E23" s="7" t="s">
        <v>356</v>
      </c>
      <c r="F23" s="7" t="s">
        <v>357</v>
      </c>
    </row>
    <row r="24" spans="1:6" ht="55.15" customHeight="1">
      <c r="A24" s="7" t="s">
        <v>390</v>
      </c>
      <c r="B24" s="7" t="s">
        <v>391</v>
      </c>
      <c r="C24" s="7" t="s">
        <v>392</v>
      </c>
      <c r="D24" s="7" t="s">
        <v>393</v>
      </c>
      <c r="E24" s="7" t="s">
        <v>394</v>
      </c>
      <c r="F24" s="7" t="s">
        <v>395</v>
      </c>
    </row>
    <row r="25" spans="1:6" ht="55.15" customHeight="1">
      <c r="A25" s="7" t="s">
        <v>396</v>
      </c>
      <c r="B25" s="7" t="s">
        <v>397</v>
      </c>
      <c r="C25" s="7" t="s">
        <v>398</v>
      </c>
      <c r="D25" s="7" t="s">
        <v>399</v>
      </c>
      <c r="E25" s="7" t="s">
        <v>400</v>
      </c>
      <c r="F25" s="7" t="s">
        <v>401</v>
      </c>
    </row>
    <row r="26" spans="1:6" ht="55.15" customHeight="1">
      <c r="A26" s="7" t="s">
        <v>402</v>
      </c>
      <c r="B26" s="7" t="s">
        <v>403</v>
      </c>
      <c r="C26" s="7" t="s">
        <v>404</v>
      </c>
      <c r="D26" s="7" t="s">
        <v>405</v>
      </c>
      <c r="E26" s="7" t="s">
        <v>406</v>
      </c>
      <c r="F26" s="7" t="s">
        <v>407</v>
      </c>
    </row>
    <row r="27" spans="1:6" ht="55.15" customHeight="1">
      <c r="A27" s="7" t="s">
        <v>408</v>
      </c>
      <c r="B27" s="7" t="s">
        <v>409</v>
      </c>
      <c r="C27" s="7" t="s">
        <v>410</v>
      </c>
      <c r="D27" s="7" t="s">
        <v>411</v>
      </c>
      <c r="E27" s="7" t="s">
        <v>412</v>
      </c>
      <c r="F27" s="7" t="s">
        <v>413</v>
      </c>
    </row>
    <row r="28" spans="1:6" ht="22.9" customHeight="1">
      <c r="A28" s="1"/>
      <c r="B28" s="1"/>
      <c r="C28" s="1"/>
      <c r="D28" s="1"/>
      <c r="E28" s="1"/>
      <c r="F28" s="1"/>
    </row>
    <row r="29" spans="1:6" ht="22.9" customHeight="1">
      <c r="A29" s="1"/>
      <c r="B29" s="1"/>
      <c r="C29" s="1"/>
      <c r="D29" s="1"/>
      <c r="E29" s="1"/>
      <c r="F29" s="1"/>
    </row>
    <row r="30" spans="1:6" ht="22.9" customHeight="1">
      <c r="A30" s="1"/>
      <c r="B30" s="1"/>
      <c r="C30" s="1"/>
      <c r="D30" s="1"/>
      <c r="E30" s="1"/>
      <c r="F30" s="1"/>
    </row>
    <row r="31" spans="1:6" ht="22.9" customHeight="1">
      <c r="A31" s="1"/>
      <c r="B31" s="1"/>
      <c r="C31" s="1"/>
      <c r="D31" s="1"/>
      <c r="E31" s="1"/>
      <c r="F31" s="1"/>
    </row>
    <row r="32" spans="1:6" ht="22.9" customHeight="1">
      <c r="A32" s="1"/>
      <c r="B32" s="1"/>
      <c r="C32" s="1"/>
      <c r="D32" s="1"/>
      <c r="E32" s="1"/>
      <c r="F32" s="1"/>
    </row>
    <row r="33" spans="1:6" ht="22.9" customHeight="1">
      <c r="A33" s="1"/>
      <c r="B33" s="1"/>
      <c r="C33" s="1"/>
      <c r="D33" s="1"/>
      <c r="E33" s="1"/>
      <c r="F33" s="1"/>
    </row>
    <row r="34" spans="1:6" ht="22.9" customHeight="1">
      <c r="A34" s="1"/>
      <c r="B34" s="1"/>
      <c r="C34" s="1"/>
      <c r="D34" s="1"/>
      <c r="E34" s="1"/>
      <c r="F34" s="1"/>
    </row>
    <row r="35" spans="1:6" ht="22.9" customHeight="1">
      <c r="A35" s="1"/>
      <c r="B35" s="1"/>
      <c r="C35" s="1"/>
      <c r="D35" s="1"/>
      <c r="E35" s="1"/>
      <c r="F35" s="1"/>
    </row>
    <row r="36" spans="1:6" ht="22.9" customHeight="1">
      <c r="A36" s="1"/>
      <c r="B36" s="1"/>
      <c r="C36" s="1"/>
      <c r="D36" s="1"/>
      <c r="E36" s="1"/>
      <c r="F36" s="1"/>
    </row>
    <row r="37" spans="1:6" ht="22.9" customHeight="1">
      <c r="A37" s="1"/>
      <c r="B37" s="1"/>
      <c r="C37" s="1"/>
      <c r="D37" s="1"/>
      <c r="E37" s="1"/>
      <c r="F37" s="1"/>
    </row>
    <row r="38" spans="1:6" ht="22.9" customHeight="1">
      <c r="A38" s="1"/>
      <c r="B38" s="1"/>
      <c r="C38" s="1"/>
      <c r="D38" s="1"/>
      <c r="E38" s="1"/>
      <c r="F38" s="1"/>
    </row>
    <row r="39" spans="1:6" ht="22.9" customHeight="1">
      <c r="A39" s="1"/>
      <c r="B39" s="1"/>
      <c r="C39" s="1"/>
      <c r="D39" s="1"/>
      <c r="E39" s="1"/>
      <c r="F39" s="1"/>
    </row>
    <row r="40" spans="1:6" ht="22.9" customHeight="1">
      <c r="A40" s="1"/>
      <c r="B40" s="1"/>
      <c r="C40" s="1"/>
      <c r="D40" s="1"/>
      <c r="E40" s="1"/>
      <c r="F40" s="1"/>
    </row>
    <row r="41" spans="1:6" ht="22.9" customHeight="1">
      <c r="A41" s="1"/>
      <c r="B41" s="1"/>
      <c r="C41" s="1"/>
      <c r="D41" s="1"/>
      <c r="E41" s="1"/>
      <c r="F41" s="1"/>
    </row>
    <row r="42" spans="1:6" ht="22.9" customHeight="1">
      <c r="A42" s="1"/>
      <c r="B42" s="1"/>
      <c r="C42" s="1"/>
      <c r="D42" s="1"/>
      <c r="E42" s="1"/>
      <c r="F42" s="1"/>
    </row>
    <row r="43" spans="1:6" ht="22.9" customHeight="1">
      <c r="A43" s="1"/>
      <c r="B43" s="1"/>
      <c r="C43" s="1"/>
      <c r="D43" s="1"/>
      <c r="E43" s="1"/>
      <c r="F43" s="1"/>
    </row>
    <row r="44" spans="1:6" ht="22.9" customHeight="1">
      <c r="A44" s="1"/>
      <c r="B44" s="1"/>
      <c r="C44" s="1"/>
      <c r="D44" s="1"/>
      <c r="E44" s="1"/>
      <c r="F44" s="1"/>
    </row>
    <row r="45" spans="1:6" ht="22.9" customHeight="1">
      <c r="A45" s="1"/>
      <c r="B45" s="1"/>
      <c r="C45" s="1"/>
      <c r="D45" s="1"/>
      <c r="E45" s="1"/>
      <c r="F45" s="1"/>
    </row>
    <row r="46" spans="1:6" ht="22.9" customHeight="1">
      <c r="A46" s="1"/>
      <c r="B46" s="1"/>
      <c r="C46" s="1"/>
      <c r="D46" s="1"/>
      <c r="E46" s="1"/>
      <c r="F46" s="1"/>
    </row>
    <row r="47" spans="1:6" ht="22.9" customHeight="1">
      <c r="A47" s="1"/>
      <c r="B47" s="1"/>
      <c r="C47" s="1"/>
      <c r="D47" s="1"/>
      <c r="E47" s="1"/>
      <c r="F47" s="1"/>
    </row>
    <row r="48" spans="1:6" ht="22.9" customHeight="1">
      <c r="A48" s="1"/>
      <c r="B48" s="1"/>
      <c r="C48" s="1"/>
      <c r="D48" s="1"/>
      <c r="E48" s="1"/>
      <c r="F48" s="1"/>
    </row>
    <row r="49" spans="1:6" ht="22.9" customHeight="1">
      <c r="A49" s="1"/>
      <c r="B49" s="1"/>
      <c r="C49" s="1"/>
      <c r="D49" s="1"/>
      <c r="E49" s="1"/>
      <c r="F49" s="1"/>
    </row>
    <row r="50" spans="1:6" ht="22.9" customHeight="1">
      <c r="A50" s="1"/>
      <c r="B50" s="1"/>
      <c r="C50" s="1"/>
      <c r="D50" s="1"/>
      <c r="E50" s="1"/>
      <c r="F50" s="1"/>
    </row>
    <row r="51" spans="1:6" ht="22.9" customHeight="1">
      <c r="A51" s="1"/>
      <c r="B51" s="1"/>
      <c r="C51" s="1"/>
      <c r="D51" s="1"/>
      <c r="E51" s="1"/>
      <c r="F51" s="1"/>
    </row>
    <row r="52" spans="1:6" ht="22.9" customHeight="1">
      <c r="A52" s="1"/>
      <c r="B52" s="1"/>
      <c r="C52" s="1"/>
      <c r="D52" s="1"/>
      <c r="E52" s="1"/>
      <c r="F52" s="1"/>
    </row>
    <row r="53" spans="1:6" ht="22.9" customHeight="1">
      <c r="A53" s="1"/>
      <c r="B53" s="1"/>
      <c r="C53" s="1"/>
      <c r="D53" s="1"/>
      <c r="E53" s="1"/>
      <c r="F53" s="1"/>
    </row>
    <row r="54" spans="1:6" ht="22.9" customHeight="1">
      <c r="A54" s="1"/>
      <c r="B54" s="1"/>
      <c r="C54" s="1"/>
      <c r="D54" s="1"/>
      <c r="E54" s="1"/>
      <c r="F54" s="1"/>
    </row>
    <row r="55" spans="1:6" ht="22.9" customHeight="1">
      <c r="A55" s="1"/>
      <c r="B55" s="1"/>
      <c r="C55" s="1"/>
      <c r="D55" s="1"/>
      <c r="E55" s="1"/>
      <c r="F55" s="1"/>
    </row>
    <row r="56" spans="1:6" ht="22.9" customHeight="1">
      <c r="A56" s="1"/>
      <c r="B56" s="1"/>
      <c r="C56" s="1"/>
      <c r="D56" s="1"/>
      <c r="E56" s="1"/>
      <c r="F56" s="1"/>
    </row>
    <row r="57" spans="1:6" ht="22.9" customHeight="1">
      <c r="A57" s="1"/>
      <c r="B57" s="1"/>
      <c r="C57" s="1"/>
      <c r="D57" s="1"/>
      <c r="E57" s="1"/>
      <c r="F57" s="1"/>
    </row>
    <row r="58" spans="1:6" ht="22.9" customHeight="1">
      <c r="A58" s="1"/>
      <c r="B58" s="1"/>
      <c r="C58" s="1"/>
      <c r="D58" s="1"/>
      <c r="E58" s="1"/>
      <c r="F58" s="1"/>
    </row>
    <row r="59" spans="1:6" ht="22.9" customHeight="1">
      <c r="A59" s="1"/>
      <c r="B59" s="1"/>
      <c r="C59" s="1"/>
      <c r="D59" s="1"/>
      <c r="E59" s="1"/>
      <c r="F59" s="1"/>
    </row>
    <row r="60" spans="1:6" ht="22.9" customHeight="1">
      <c r="A60" s="1"/>
      <c r="B60" s="1"/>
      <c r="C60" s="1"/>
      <c r="D60" s="1"/>
      <c r="E60" s="1"/>
      <c r="F60" s="1"/>
    </row>
    <row r="61" spans="1:6" ht="22.9" customHeight="1">
      <c r="A61" s="1"/>
      <c r="B61" s="1"/>
      <c r="C61" s="1"/>
      <c r="D61" s="1"/>
      <c r="E61" s="1"/>
      <c r="F61" s="1"/>
    </row>
    <row r="62" spans="1:6" ht="22.9" customHeight="1">
      <c r="A62" s="1"/>
      <c r="B62" s="1"/>
      <c r="C62" s="1"/>
      <c r="D62" s="1"/>
      <c r="E62" s="1"/>
      <c r="F62" s="1"/>
    </row>
    <row r="63" spans="1:6" ht="22.9" customHeight="1">
      <c r="A63" s="1"/>
      <c r="B63" s="1"/>
      <c r="C63" s="1"/>
      <c r="D63" s="1"/>
      <c r="E63" s="1"/>
      <c r="F63" s="1"/>
    </row>
    <row r="64" spans="1:6" ht="22.9" customHeight="1">
      <c r="A64" s="1"/>
      <c r="B64" s="1"/>
      <c r="C64" s="1"/>
      <c r="D64" s="1"/>
      <c r="E64" s="1"/>
      <c r="F64" s="1"/>
    </row>
    <row r="65" spans="1:6" ht="22.9" customHeight="1">
      <c r="A65" s="1"/>
      <c r="B65" s="1"/>
      <c r="C65" s="1"/>
      <c r="D65" s="1"/>
      <c r="E65" s="1"/>
      <c r="F65" s="1"/>
    </row>
    <row r="66" spans="1:6" ht="22.9" customHeight="1">
      <c r="A66" s="1"/>
      <c r="B66" s="1"/>
      <c r="C66" s="1"/>
      <c r="D66" s="1"/>
      <c r="E66" s="1"/>
      <c r="F66" s="1"/>
    </row>
    <row r="67" spans="1:6" ht="22.9" customHeight="1">
      <c r="A67" s="1"/>
      <c r="B67" s="1"/>
      <c r="C67" s="1"/>
      <c r="D67" s="1"/>
      <c r="E67" s="1"/>
      <c r="F67" s="1"/>
    </row>
    <row r="68" spans="1:6" ht="22.9" customHeight="1">
      <c r="A68" s="1"/>
      <c r="B68" s="1"/>
      <c r="C68" s="1"/>
      <c r="D68" s="1"/>
      <c r="E68" s="1"/>
      <c r="F68" s="1"/>
    </row>
    <row r="69" spans="1:6" ht="22.9" customHeight="1">
      <c r="A69" s="1"/>
      <c r="B69" s="1"/>
      <c r="C69" s="1"/>
      <c r="D69" s="1"/>
      <c r="E69" s="1"/>
      <c r="F69" s="1"/>
    </row>
    <row r="70" spans="1:6" ht="22.9" customHeight="1">
      <c r="A70" s="1"/>
      <c r="B70" s="1"/>
      <c r="C70" s="1"/>
      <c r="D70" s="1"/>
      <c r="E70" s="1"/>
      <c r="F70" s="1"/>
    </row>
    <row r="71" spans="1:6" ht="22.9" customHeight="1">
      <c r="A71" s="1"/>
      <c r="B71" s="1"/>
      <c r="C71" s="1"/>
      <c r="D71" s="1"/>
      <c r="E71" s="1"/>
      <c r="F71" s="1"/>
    </row>
    <row r="72" spans="1:6" ht="22.9" customHeight="1">
      <c r="A72" s="1"/>
      <c r="B72" s="1"/>
      <c r="C72" s="1"/>
      <c r="D72" s="1"/>
      <c r="E72" s="1"/>
      <c r="F72" s="1"/>
    </row>
    <row r="73" spans="1:6" ht="22.9" customHeight="1">
      <c r="A73" s="1"/>
      <c r="B73" s="1"/>
      <c r="C73" s="1"/>
      <c r="D73" s="1"/>
      <c r="E73" s="1"/>
      <c r="F73" s="1"/>
    </row>
    <row r="74" spans="1:6" ht="22.9" customHeight="1">
      <c r="A74" s="1"/>
      <c r="B74" s="1"/>
      <c r="C74" s="1"/>
      <c r="D74" s="1"/>
      <c r="E74" s="1"/>
      <c r="F74" s="1"/>
    </row>
    <row r="75" spans="1:6" ht="22.9" customHeight="1">
      <c r="A75" s="1"/>
      <c r="B75" s="1"/>
      <c r="C75" s="1"/>
      <c r="D75" s="1"/>
      <c r="E75" s="1"/>
      <c r="F75" s="1"/>
    </row>
    <row r="76" spans="1:6" ht="22.9" customHeight="1">
      <c r="A76" s="1"/>
      <c r="B76" s="1"/>
      <c r="C76" s="1"/>
      <c r="D76" s="1"/>
      <c r="E76" s="1"/>
      <c r="F76" s="1"/>
    </row>
    <row r="77" spans="1:6" ht="22.9" customHeight="1">
      <c r="A77" s="1"/>
      <c r="B77" s="1"/>
      <c r="C77" s="1"/>
      <c r="D77" s="1"/>
      <c r="E77" s="1"/>
      <c r="F77" s="1"/>
    </row>
    <row r="78" spans="1:6" ht="22.9" customHeight="1">
      <c r="A78" s="1"/>
      <c r="B78" s="1"/>
      <c r="C78" s="1"/>
      <c r="D78" s="1"/>
      <c r="E78" s="1"/>
      <c r="F78" s="1"/>
    </row>
    <row r="79" spans="1:6" ht="22.9" customHeight="1">
      <c r="A79" s="1"/>
      <c r="B79" s="1"/>
      <c r="C79" s="1"/>
      <c r="D79" s="1"/>
      <c r="E79" s="1"/>
      <c r="F79" s="1"/>
    </row>
    <row r="80" spans="1:6" ht="22.9" customHeight="1">
      <c r="A80" s="1"/>
      <c r="B80" s="1"/>
      <c r="C80" s="1"/>
      <c r="D80" s="1"/>
      <c r="E80" s="1"/>
      <c r="F80" s="1"/>
    </row>
  </sheetData>
  <mergeCells count="2">
    <mergeCell ref="A1:F2"/>
    <mergeCell ref="A3:F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P8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75" defaultRowHeight="14.25"/>
  <cols>
    <col min="1" max="42" width="14" customWidth="1"/>
  </cols>
  <sheetData>
    <row r="1" spans="1:42" ht="24" customHeight="1">
      <c r="A1" s="31" t="s">
        <v>414</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row>
    <row r="2" spans="1:42" ht="24" customHeight="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row>
    <row r="3" spans="1:42" ht="22.15" customHeight="1">
      <c r="A3" s="32" t="s">
        <v>415</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row>
    <row r="4" spans="1:42" ht="22.15" customHeight="1">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row>
    <row r="5" spans="1:42" ht="22.9" customHeight="1">
      <c r="A5" s="4" t="str">
        <f>IFERROR(HYPERLINK("#'Start'!A1","← Start"),"← Start")</f>
        <v>← Start</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row>
    <row r="6" spans="1:42" ht="43.15" customHeight="1">
      <c r="A6" s="11" t="s">
        <v>62</v>
      </c>
      <c r="B6" s="11" t="s">
        <v>63</v>
      </c>
      <c r="C6" s="11" t="s">
        <v>35</v>
      </c>
      <c r="D6" s="11" t="s">
        <v>416</v>
      </c>
      <c r="E6" s="11" t="s">
        <v>417</v>
      </c>
      <c r="F6" s="11" t="s">
        <v>418</v>
      </c>
      <c r="G6" s="11" t="s">
        <v>419</v>
      </c>
      <c r="H6" s="11" t="s">
        <v>420</v>
      </c>
      <c r="I6" s="11" t="s">
        <v>421</v>
      </c>
      <c r="J6" s="11" t="s">
        <v>422</v>
      </c>
      <c r="K6" s="11" t="s">
        <v>423</v>
      </c>
      <c r="L6" s="11" t="s">
        <v>424</v>
      </c>
      <c r="M6" s="11" t="s">
        <v>425</v>
      </c>
      <c r="N6" s="11" t="s">
        <v>426</v>
      </c>
      <c r="O6" s="11" t="s">
        <v>427</v>
      </c>
      <c r="P6" s="11" t="s">
        <v>428</v>
      </c>
      <c r="Q6" s="11" t="s">
        <v>429</v>
      </c>
      <c r="R6" s="11" t="s">
        <v>430</v>
      </c>
      <c r="S6" s="11" t="s">
        <v>431</v>
      </c>
      <c r="T6" s="11" t="s">
        <v>432</v>
      </c>
      <c r="U6" s="11" t="s">
        <v>433</v>
      </c>
      <c r="V6" s="11" t="s">
        <v>434</v>
      </c>
      <c r="W6" s="11" t="s">
        <v>435</v>
      </c>
      <c r="X6" s="11" t="s">
        <v>436</v>
      </c>
      <c r="Y6" s="11" t="s">
        <v>437</v>
      </c>
      <c r="Z6" s="11" t="s">
        <v>438</v>
      </c>
      <c r="AA6" s="11" t="s">
        <v>439</v>
      </c>
      <c r="AB6" s="11" t="s">
        <v>440</v>
      </c>
      <c r="AC6" s="11" t="s">
        <v>441</v>
      </c>
      <c r="AD6" s="11" t="s">
        <v>442</v>
      </c>
      <c r="AE6" s="11" t="s">
        <v>443</v>
      </c>
      <c r="AF6" s="11" t="s">
        <v>444</v>
      </c>
      <c r="AG6" s="11" t="s">
        <v>445</v>
      </c>
      <c r="AH6" s="11" t="s">
        <v>446</v>
      </c>
      <c r="AI6" s="11" t="s">
        <v>53</v>
      </c>
      <c r="AJ6" s="11" t="s">
        <v>191</v>
      </c>
      <c r="AK6" s="11" t="s">
        <v>447</v>
      </c>
      <c r="AL6" s="11" t="s">
        <v>448</v>
      </c>
      <c r="AM6" s="11" t="s">
        <v>449</v>
      </c>
      <c r="AN6" s="11" t="s">
        <v>450</v>
      </c>
      <c r="AO6" s="11" t="s">
        <v>451</v>
      </c>
      <c r="AP6" s="11" t="s">
        <v>452</v>
      </c>
    </row>
    <row r="7" spans="1:42" ht="43.9" customHeight="1">
      <c r="A7" s="14" t="s">
        <v>33</v>
      </c>
      <c r="B7" s="14" t="str">
        <f>IF(COUNTIFS(Cases!$A$7:$A$56,$A7,Cases!$B$7:$B$56,"&lt;&gt;")=1,IFERROR(INDEX(Cases!$B$7:$B$56,MATCH($A7,Cases!$A$7:$A$56,0)),""),"")</f>
        <v>Example</v>
      </c>
      <c r="C7" s="14" t="str">
        <f>IF(COUNTIFS(Cases!$A$7:$A$56,$A7,Cases!$C$7:$C$56,"&lt;&gt;")=1,IFERROR(INDEX(Cases!$C$7:$C$56,MATCH($A7,Cases!$A$7:$A$56,0)),""),"")</f>
        <v>Document classification prompts</v>
      </c>
      <c r="D7" s="14">
        <f>IF(AND(AG7=1,OR(B7="Example",B7="Live"),OR(AP7="Simplify",AP7="Replace",AP7="Reduce scope",AP7="Retire",AP7="Retain"),COUNTIFS(Cases!$A$7:$A$56,$A7,Cases!$C$7:$C$56,"&lt;&gt;")=1,COUNTIFS(Cases!$A$7:$A$56,$A7,Cases!$D$7:$D$56,"&lt;&gt;")=1,COUNTIFS(Cases!$A$7:$A$56,$A7,Cases!$E$7:$E$56,"&lt;&gt;")=1,COUNTIFS(Cases!$A$7:$A$56,$A7,Cases!$F$7:$F$56,"&lt;&gt;")=1,COUNTIFS(Cases!$A$7:$A$56,$A7,Cases!$H$7:$H$56,"&lt;&gt;")=1,COUNTIFS(Cases!$A$7:$A$56,$A7,Cases!$I$7:$I$56,"&lt;&gt;")=1,LEN(TRIM(IF(COUNTIFS(Cases!$A$7:$A$56,$A7,Cases!$C$7:$C$56,"&lt;&gt;")=1,IFERROR(INDEX(Cases!$C$7:$C$56,MATCH($A7,Cases!$A$7:$A$56,0)),""),"")))&gt;0,LEN(TRIM(IF(COUNTIFS(Cases!$A$7:$A$56,$A7,Cases!$D$7:$D$56,"&lt;&gt;")=1,IFERROR(INDEX(Cases!$D$7:$D$56,MATCH($A7,Cases!$A$7:$A$56,0)),""),"")))&gt;0,LEN(TRIM(IF(COUNTIFS(Cases!$A$7:$A$56,$A7,Cases!$E$7:$E$56,"&lt;&gt;")=1,IFERROR(INDEX(Cases!$E$7:$E$56,MATCH($A7,Cases!$A$7:$A$56,0)),""),"")))&gt;0,LEN(TRIM(IF(COUNTIFS(Cases!$A$7:$A$56,$A7,Cases!$F$7:$F$56,"&lt;&gt;")=1,IFERROR(INDEX(Cases!$F$7:$F$56,MATCH($A7,Cases!$A$7:$A$56,0)),""),"")))&gt;0,LEN(TRIM(IF(COUNTIFS(Cases!$A$7:$A$56,$A7,Cases!$H$7:$H$56,"&lt;&gt;")=1,IFERROR(INDEX(Cases!$H$7:$H$56,MATCH($A7,Cases!$A$7:$A$56,0)),""),"")))&gt;0,LEN(TRIM(IF(COUNTIFS(Cases!$A$7:$A$56,$A7,Cases!$I$7:$I$56,"&lt;&gt;")=1,IFERROR(INDEX(Cases!$I$7:$I$56,MATCH($A7,Cases!$A$7:$A$56,0)),""),"")))&gt;0),1,0)</f>
        <v>1</v>
      </c>
      <c r="E7" s="14">
        <f>IF(AND(AG7=1,IFERROR(INDEX(Current!$G$7:$G$56,MATCH($A7,Current!$A$7:$A$56,0)),"")="Ready"),1,0)</f>
        <v>1</v>
      </c>
      <c r="F7" s="14">
        <f>IF(AND(AG7=1,IFERROR(INDEX(Proposed!$H$7:$H$56,MATCH($A7,Proposed!$A$7:$A$56,0)),"")="Ready",OR(AP7&lt;&gt;"Retain",AND(IFERROR(INDEX(Current!$B$7:$B$56,MATCH($A7,Current!$A$7:$A$56,0)),"")=IFERROR(INDEX(Proposed!$B$7:$B$56,MATCH($A7,Proposed!$A$7:$A$56,0)),""),IFERROR(INDEX(Current!$C$7:$C$56,MATCH($A7,Current!$A$7:$A$56,0)),"")=IFERROR(INDEX(Proposed!$C$7:$C$56,MATCH($A7,Proposed!$A$7:$A$56,0)),""),IFERROR(INDEX(Current!$D$7:$D$56,MATCH($A7,Current!$A$7:$A$56,0)),"")=IFERROR(INDEX(Proposed!$D$7:$D$56,MATCH($A7,Proposed!$A$7:$A$56,0)),""),IFERROR(INDEX(Current!$E$7:$E$56,MATCH($A7,Current!$A$7:$A$56,0)),"")=IFERROR(INDEX(Proposed!$E$7:$E$56,MATCH($A7,Proposed!$A$7:$A$56,0)),"")))),1,0)</f>
        <v>1</v>
      </c>
      <c r="G7" s="14" t="str">
        <f>IF(COUNTIFS('Challenge Review'!$A$7:$A$56,$A7,'Challenge Review'!$K$7:$K$56,"&lt;&gt;")=1,IFERROR(INDEX('Challenge Review'!$K$7:$K$56,MATCH($A7,'Challenge Review'!$A$7:$A$56,0)),""),"")</f>
        <v>Unchecked</v>
      </c>
      <c r="H7" s="14">
        <f>IF(AND(AG7=1,IFERROR(INDEX('Review &amp; Decision'!$B$7:$B$56,MATCH($A7,'Review &amp; Decision'!$A$7:$A$56,0)),"")="Evidence-backed",OR(IFERROR(INDEX('Review &amp; Decision'!$C$7:$C$56,MATCH($A7,'Review &amp; Decision'!$A$7:$A$56,0)),"")="Equivalent or better",AND(IFERROR(INDEX('Review &amp; Decision'!$C$7:$C$56,MATCH($A7,'Review &amp; Decision'!$A$7:$A$56,0)),"")="Accepted reduction",COUNTIFS('Review &amp; Decision'!$A$7:$A$56,$A7,'Review &amp; Decision'!$L$7:$L$56,"&lt;&gt;")=1)),COUNTIFS('Review &amp; Decision'!$A$7:$A$56,$A7,'Review &amp; Decision'!$D$7:$D$56,"&lt;&gt;")=1,COUNTIFS('Review &amp; Decision'!$A$7:$A$56,$A7,'Review &amp; Decision'!$F$7:$F$56,"&lt;&gt;")=1,OR(IFERROR(INDEX('Review &amp; Decision'!$E$7:$E$56,MATCH($A7,'Review &amp; Decision'!$A$7:$A$56,0)),"")="Approved",IFERROR(INDEX('Review &amp; Decision'!$E$7:$E$56,MATCH($A7,'Review &amp; Decision'!$A$7:$A$56,0)),"")="Implemented"),ISNUMBER(IFERROR(INDEX('Review &amp; Decision'!$G$7:$G$56,MATCH($A7,'Review &amp; Decision'!$A$7:$A$56,0)),"")),IFERROR(INDEX('Review &amp; Decision'!$G$7:$G$56,MATCH($A7,'Review &amp; Decision'!$A$7:$A$56,0)),"")&gt;0,IFERROR(INDEX('Review &amp; Decision'!$G$7:$G$56,MATCH($A7,'Review &amp; Decision'!$A$7:$A$56,0)),"")&lt;=Settings!$B$7,ISNUMBER(IFERROR(INDEX('Review &amp; Decision'!$I$7:$I$56,MATCH($A7,'Review &amp; Decision'!$A$7:$A$56,0)),"")),IFERROR(INDEX('Review &amp; Decision'!$I$7:$I$56,MATCH($A7,'Review &amp; Decision'!$A$7:$A$56,0)),"")&gt;0,IFERROR(INDEX('Review &amp; Decision'!$I$7:$I$56,MATCH($A7,'Review &amp; Decision'!$A$7:$A$56,0)),"")&lt;=Settings!$B$7,IFERROR(INDEX('Review &amp; Decision'!$I$7:$I$56,MATCH($A7,'Review &amp; Decision'!$A$7:$A$56,0)),"")&gt;=IFERROR(INDEX('Review &amp; Decision'!$G$7:$G$56,MATCH($A7,'Review &amp; Decision'!$A$7:$A$56,0)),""),COUNTIFS('Review &amp; Decision'!$A$7:$A$56,$A7,'Review &amp; Decision'!$J$7:$J$56,"&lt;&gt;")=1,COUNTIFS('Review &amp; Decision'!$A$7:$A$56,$A7,'Review &amp; Decision'!$K$7:$K$56,"&lt;&gt;")=1,ISNUMBER(IFERROR(INDEX('Review &amp; Decision'!$J$7:$J$56,MATCH($A7,'Review &amp; Decision'!$A$7:$A$56,0)),"")),IFERROR(INDEX('Review &amp; Decision'!$J$7:$J$56,MATCH($A7,'Review &amp; Decision'!$A$7:$A$56,0)),"")&gt;=0,IFERROR(INDEX('Review &amp; Decision'!$J$7:$J$56,MATCH($A7,'Review &amp; Decision'!$A$7:$A$56,0)),"")&lt;=1,ISNUMBER(IFERROR(INDEX('Review &amp; Decision'!$K$7:$K$56,MATCH($A7,'Review &amp; Decision'!$A$7:$A$56,0)),"")),IFERROR(INDEX('Review &amp; Decision'!$K$7:$K$56,MATCH($A7,'Review &amp; Decision'!$A$7:$A$56,0)),"")&gt;=0,IFERROR(INDEX('Review &amp; Decision'!$K$7:$K$56,MATCH($A7,'Review &amp; Decision'!$A$7:$A$56,0)),"")&lt;=1,ISNUMBER(Settings!$B$7),Settings!$B$7&gt;0,OR(Settings!$B$8="Approved + measured",Settings!$B$8="Measured only"),LEN(TRIM(IF(COUNTIFS('Review &amp; Decision'!$A$7:$A$56,$A7,'Review &amp; Decision'!$D$7:$D$56,"&lt;&gt;")=1,IFERROR(INDEX('Review &amp; Decision'!$D$7:$D$56,MATCH($A7,'Review &amp; Decision'!$A$7:$A$56,0)),""),"")))&gt;0,LEN(TRIM(IF(COUNTIFS('Review &amp; Decision'!$A$7:$A$56,$A7,'Review &amp; Decision'!$F$7:$F$56,"&lt;&gt;")=1,IFERROR(INDEX('Review &amp; Decision'!$F$7:$F$56,MATCH($A7,'Review &amp; Decision'!$A$7:$A$56,0)),""),"")))&gt;0,OR(IFERROR(INDEX('Review &amp; Decision'!$C$7:$C$56,MATCH($A7,'Review &amp; Decision'!$A$7:$A$56,0)),"")&lt;&gt;"Accepted reduction",LEN(TRIM(IF(COUNTIFS('Review &amp; Decision'!$A$7:$A$56,$A7,'Review &amp; Decision'!$L$7:$L$56,"&lt;&gt;")=1,IFERROR(INDEX('Review &amp; Decision'!$L$7:$L$56,MATCH($A7,'Review &amp; Decision'!$A$7:$A$56,0)),""),"")))&gt;0)),1,0)</f>
        <v>0</v>
      </c>
      <c r="I7" s="14">
        <f>IF(AND(AG7=1,IFERROR(INDEX(Actuals!$M$7:$M$56,MATCH($A7,Actuals!$A$7:$A$56,0)),"")="Ready",IFERROR(INDEX(Actuals!$D$7:$D$56,MATCH($A7,Actuals!$A$7:$A$56,0)),"")&gt;=IFERROR(INDEX('Review &amp; Decision'!$I$7:$I$56,MATCH($A7,'Review &amp; Decision'!$A$7:$A$56,0)),"")),1,0)</f>
        <v>0</v>
      </c>
      <c r="J7" s="14" t="str">
        <f t="shared" ref="J7:J38" si="0">IF(AG7=0,"Fix duplicate / missing case ID",IF(B7="Inactive","Unused slot",IF(B7="Example","Example only — never in live planning",IF(D7=0,"Complete case scope and proposal",IF(E7=0,"Complete current inputs; confirm zeros",IF(F7=0,"Complete full proposed profile",IF(G7="Blocked","Blocked — resolve challenge concern",IF(AJ7="Rejected","Rejected — excluded from planning",IF(AND(AI7="Realized",I7=0),"Add measurements, period and evidence",IF(G7&lt;&gt;"Clear","Complete and sign challenge review",IF(H7=0,"Approve evidence, dates and usable shares",IF(AP7="Retain","Retained — no released resource",IF(L7=1,"Measured result eligible",IF(K7=1,"Approved forecast eligible","Modeled only — not allocatable"))))))))))))))</f>
        <v>Example only — never in live planning</v>
      </c>
      <c r="K7" s="14">
        <f t="shared" ref="K7:K38" si="1">IF(AND(B7="Live",AH7=1,G7="Clear",H7=1,AI7="Validated",AP7&lt;&gt;"Retain"),1,0)</f>
        <v>0</v>
      </c>
      <c r="L7" s="14">
        <f t="shared" ref="L7:L38" si="2">IF(AND(B7="Live",AH7=1,G7="Clear",H7=1,I7=1,AI7="Realized",AJ7="Implemented",AP7&lt;&gt;"Retain"),1,0)</f>
        <v>0</v>
      </c>
      <c r="M7" s="14">
        <f>IF(OR(L7=1,AND(K7=1,Settings!$B$8="Approved + measured")),1,0)</f>
        <v>0</v>
      </c>
      <c r="N7" s="14">
        <f>IF(E7=1,IFERROR(INDEX(Current!$H$7:$H$56,MATCH($A7,Current!$A$7:$A$56,0)),""),"")</f>
        <v>7333.333333333333</v>
      </c>
      <c r="O7" s="14">
        <f>IF(F7=1,IFERROR(INDEX(Proposed!$I$7:$I$56,MATCH($A7,Proposed!$A$7:$A$56,0)),""),"")</f>
        <v>300</v>
      </c>
      <c r="P7" s="14">
        <f t="shared" ref="P7:P38" si="3">IF(AH7=1,N7-O7,"")</f>
        <v>7033.333333333333</v>
      </c>
      <c r="Q7" s="14">
        <f>IF(E7=1,IFERROR(INDEX(Current!$I$7:$I$56,MATCH($A7,Current!$A$7:$A$56,0)),""),"")</f>
        <v>150</v>
      </c>
      <c r="R7" s="14">
        <f>IF(F7=1,IFERROR(INDEX(Proposed!$J$7:$J$56,MATCH($A7,Proposed!$A$7:$A$56,0)),""),"")</f>
        <v>80</v>
      </c>
      <c r="S7" s="14">
        <f t="shared" ref="S7:S38" si="4">IF(AH7=1,Q7-R7,"")</f>
        <v>70</v>
      </c>
      <c r="T7" s="14">
        <f>IF(E7=1,IFERROR(INDEX(Current!$E$7:$E$56,MATCH($A7,Current!$A$7:$A$56,0)),""),"")</f>
        <v>0</v>
      </c>
      <c r="U7" s="14">
        <f>IF(F7=1,IFERROR(INDEX(Proposed!$E$7:$E$56,MATCH($A7,Proposed!$A$7:$A$56,0)),""),"")</f>
        <v>60000</v>
      </c>
      <c r="V7" s="14">
        <f t="shared" ref="V7:V38" si="5">IF(AH7=1,T7-U7,"")</f>
        <v>-60000</v>
      </c>
      <c r="W7" s="14">
        <f>IF(E7=1,IFERROR(INDEX(Current!$K$7:$K$56,MATCH($A7,Current!$A$7:$A$56,0)),""),"")</f>
        <v>451250</v>
      </c>
      <c r="X7" s="14">
        <f>IF(F7=1,IFERROR(INDEX(Proposed!$L$7:$L$56,MATCH($A7,Proposed!$A$7:$A$56,0)),""),"")</f>
        <v>84000</v>
      </c>
      <c r="Y7" s="14">
        <f t="shared" ref="Y7:Y38" si="6">IF(AH7=1,W7-X7,"")</f>
        <v>367250</v>
      </c>
      <c r="Z7" s="14">
        <f>IF(F7=1,IFERROR(INDEX(Proposed!$F$7:$F$56,MATCH($A7,Proposed!$A$7:$A$56,0)),""),"")</f>
        <v>40000</v>
      </c>
      <c r="AA7" s="14">
        <f>IF(M7=1,IF(IF(L7=1,AL7,P7)&gt;0,IF(L7=1,AL7,P7)*IFERROR(INDEX('Review &amp; Decision'!$J$7:$J$56,MATCH($A7,'Review &amp; Decision'!$A$7:$A$56,0)),""),IF(L7=1,AL7,P7)),0)</f>
        <v>0</v>
      </c>
      <c r="AB7" s="14">
        <f>IF(M7=1,IF(IF(L7=1,AM7,S7)&gt;0,IF(L7=1,AM7,S7)*IFERROR(INDEX('Review &amp; Decision'!$K$7:$K$56,MATCH($A7,'Review &amp; Decision'!$A$7:$A$56,0)),""),IF(L7=1,AM7,S7)),0)</f>
        <v>0</v>
      </c>
      <c r="AC7" s="14">
        <f t="shared" ref="AC7:AC38" si="7">IF(M7=1,IF(L7=1,AN7,V7),0)</f>
        <v>0</v>
      </c>
      <c r="AD7" s="14">
        <f t="shared" ref="AD7:AD38" si="8">IF(AND(M7=1,L7=0),Z7,0)</f>
        <v>0</v>
      </c>
      <c r="AE7" s="14">
        <f t="shared" ref="AE7:AE38" si="9">IF(AND(B7="Live",AI7="Realized"),1,0)</f>
        <v>0</v>
      </c>
      <c r="AF7" s="14" t="str">
        <f t="shared" ref="AF7:AF38" si="10">IF(AND(AE7=1,I7=0),"Missing measured evidence","No measurement warning")</f>
        <v>No measurement warning</v>
      </c>
      <c r="AG7" s="14">
        <f>IF(AND(COUNTIF(Cases!$A$7:$A$56,$A7)=1,COUNTIF(Current!$A$7:$A$56,$A7)=1,COUNTIF(Proposed!$A$7:$A$56,$A7)=1,COUNTIF('Review &amp; Decision'!$A$7:$A$56,$A7)=1,COUNTIF('Challenge Review'!$A$7:$A$56,$A7)=1,COUNTIF(Actuals!$A$7:$A$56,$A7)=1,COUNTIF(Classification!$A$7:$A$56,$A7)=1),1,0)</f>
        <v>1</v>
      </c>
      <c r="AH7" s="14">
        <f t="shared" ref="AH7:AH38" si="11">IF(AND(D7=1,E7=1,F7=1),1,0)</f>
        <v>1</v>
      </c>
      <c r="AI7" s="14" t="str">
        <f>IF(COUNTIFS('Review &amp; Decision'!$A$7:$A$56,$A7,'Review &amp; Decision'!$H$7:$H$56,"&lt;&gt;")=1,IFERROR(INDEX('Review &amp; Decision'!$H$7:$H$56,MATCH($A7,'Review &amp; Decision'!$A$7:$A$56,0)),""),"")</f>
        <v>Modeled</v>
      </c>
      <c r="AJ7" s="14" t="str">
        <f>IF(COUNTIFS('Review &amp; Decision'!$A$7:$A$56,$A7,'Review &amp; Decision'!$E$7:$E$56,"&lt;&gt;")=1,IFERROR(INDEX('Review &amp; Decision'!$E$7:$E$56,MATCH($A7,'Review &amp; Decision'!$A$7:$A$56,0)),""),"")</f>
        <v>Open</v>
      </c>
      <c r="AK7" s="14" t="str">
        <f>IF(COUNTIFS('Review &amp; Decision'!$A$7:$A$56,$A7,'Review &amp; Decision'!$B$7:$B$56,"&lt;&gt;")=1,IFERROR(INDEX('Review &amp; Decision'!$B$7:$B$56,MATCH($A7,'Review &amp; Decision'!$A$7:$A$56,0)),""),"")</f>
        <v>Hypothesis</v>
      </c>
      <c r="AL7" s="14" t="str">
        <f>IF(I7=1,IFERROR(INDEX(Actuals!$E$7:$E$56,MATCH($A7,Actuals!$A$7:$A$56,0)),""),"")</f>
        <v/>
      </c>
      <c r="AM7" s="14" t="str">
        <f>IF(I7=1,IFERROR(INDEX(Actuals!$F$7:$F$56,MATCH($A7,Actuals!$A$7:$A$56,0)),""),"")</f>
        <v/>
      </c>
      <c r="AN7" s="14" t="str">
        <f>IF(I7=1,IFERROR(INDEX(Actuals!$G$7:$G$56,MATCH($A7,Actuals!$A$7:$A$56,0)),""),"")</f>
        <v/>
      </c>
      <c r="AO7" s="14" t="str">
        <f>IF(I7=1,IFERROR(INDEX(Actuals!$G$7:$G$56,MATCH($A7,Actuals!$A$7:$A$56,0)),"")+IFERROR(INDEX(Actuals!$H$7:$H$56,MATCH($A7,Actuals!$A$7:$A$56,0)),""),"")</f>
        <v/>
      </c>
      <c r="AP7" s="14" t="str">
        <f>IF(COUNTIFS(Cases!$A$7:$A$56,$A7,Cases!$G$7:$G$56,"&lt;&gt;")=1,IFERROR(INDEX(Cases!$G$7:$G$56,MATCH($A7,Cases!$A$7:$A$56,0)),""),"")</f>
        <v>Replace</v>
      </c>
    </row>
    <row r="8" spans="1:42" ht="43.9" customHeight="1">
      <c r="A8" s="14" t="s">
        <v>75</v>
      </c>
      <c r="B8" s="14" t="str">
        <f>IF(COUNTIFS(Cases!$A$7:$A$56,$A8,Cases!$B$7:$B$56,"&lt;&gt;")=1,IFERROR(INDEX(Cases!$B$7:$B$56,MATCH($A8,Cases!$A$7:$A$56,0)),""),"")</f>
        <v>Example</v>
      </c>
      <c r="C8" s="14" t="str">
        <f>IF(COUNTIFS(Cases!$A$7:$A$56,$A8,Cases!$C$7:$C$56,"&lt;&gt;")=1,IFERROR(INDEX(Cases!$C$7:$C$56,MATCH($A8,Cases!$A$7:$A$56,0)),""),"")</f>
        <v>Periodic password changes</v>
      </c>
      <c r="D8" s="14">
        <f>IF(AND(AG8=1,OR(B8="Example",B8="Live"),OR(AP8="Simplify",AP8="Replace",AP8="Reduce scope",AP8="Retire",AP8="Retain"),COUNTIFS(Cases!$A$7:$A$56,$A8,Cases!$C$7:$C$56,"&lt;&gt;")=1,COUNTIFS(Cases!$A$7:$A$56,$A8,Cases!$D$7:$D$56,"&lt;&gt;")=1,COUNTIFS(Cases!$A$7:$A$56,$A8,Cases!$E$7:$E$56,"&lt;&gt;")=1,COUNTIFS(Cases!$A$7:$A$56,$A8,Cases!$F$7:$F$56,"&lt;&gt;")=1,COUNTIFS(Cases!$A$7:$A$56,$A8,Cases!$H$7:$H$56,"&lt;&gt;")=1,COUNTIFS(Cases!$A$7:$A$56,$A8,Cases!$I$7:$I$56,"&lt;&gt;")=1,LEN(TRIM(IF(COUNTIFS(Cases!$A$7:$A$56,$A8,Cases!$C$7:$C$56,"&lt;&gt;")=1,IFERROR(INDEX(Cases!$C$7:$C$56,MATCH($A8,Cases!$A$7:$A$56,0)),""),"")))&gt;0,LEN(TRIM(IF(COUNTIFS(Cases!$A$7:$A$56,$A8,Cases!$D$7:$D$56,"&lt;&gt;")=1,IFERROR(INDEX(Cases!$D$7:$D$56,MATCH($A8,Cases!$A$7:$A$56,0)),""),"")))&gt;0,LEN(TRIM(IF(COUNTIFS(Cases!$A$7:$A$56,$A8,Cases!$E$7:$E$56,"&lt;&gt;")=1,IFERROR(INDEX(Cases!$E$7:$E$56,MATCH($A8,Cases!$A$7:$A$56,0)),""),"")))&gt;0,LEN(TRIM(IF(COUNTIFS(Cases!$A$7:$A$56,$A8,Cases!$F$7:$F$56,"&lt;&gt;")=1,IFERROR(INDEX(Cases!$F$7:$F$56,MATCH($A8,Cases!$A$7:$A$56,0)),""),"")))&gt;0,LEN(TRIM(IF(COUNTIFS(Cases!$A$7:$A$56,$A8,Cases!$H$7:$H$56,"&lt;&gt;")=1,IFERROR(INDEX(Cases!$H$7:$H$56,MATCH($A8,Cases!$A$7:$A$56,0)),""),"")))&gt;0,LEN(TRIM(IF(COUNTIFS(Cases!$A$7:$A$56,$A8,Cases!$I$7:$I$56,"&lt;&gt;")=1,IFERROR(INDEX(Cases!$I$7:$I$56,MATCH($A8,Cases!$A$7:$A$56,0)),""),"")))&gt;0),1,0)</f>
        <v>1</v>
      </c>
      <c r="E8" s="14">
        <f>IF(AND(AG8=1,IFERROR(INDEX(Current!$G$7:$G$56,MATCH($A8,Current!$A$7:$A$56,0)),"")="Ready"),1,0)</f>
        <v>1</v>
      </c>
      <c r="F8" s="14">
        <f>IF(AND(AG8=1,IFERROR(INDEX(Proposed!$H$7:$H$56,MATCH($A8,Proposed!$A$7:$A$56,0)),"")="Ready",OR(AP8&lt;&gt;"Retain",AND(IFERROR(INDEX(Current!$B$7:$B$56,MATCH($A8,Current!$A$7:$A$56,0)),"")=IFERROR(INDEX(Proposed!$B$7:$B$56,MATCH($A8,Proposed!$A$7:$A$56,0)),""),IFERROR(INDEX(Current!$C$7:$C$56,MATCH($A8,Current!$A$7:$A$56,0)),"")=IFERROR(INDEX(Proposed!$C$7:$C$56,MATCH($A8,Proposed!$A$7:$A$56,0)),""),IFERROR(INDEX(Current!$D$7:$D$56,MATCH($A8,Current!$A$7:$A$56,0)),"")=IFERROR(INDEX(Proposed!$D$7:$D$56,MATCH($A8,Proposed!$A$7:$A$56,0)),""),IFERROR(INDEX(Current!$E$7:$E$56,MATCH($A8,Current!$A$7:$A$56,0)),"")=IFERROR(INDEX(Proposed!$E$7:$E$56,MATCH($A8,Proposed!$A$7:$A$56,0)),"")))),1,0)</f>
        <v>1</v>
      </c>
      <c r="G8" s="14" t="str">
        <f>IF(COUNTIFS('Challenge Review'!$A$7:$A$56,$A8,'Challenge Review'!$K$7:$K$56,"&lt;&gt;")=1,IFERROR(INDEX('Challenge Review'!$K$7:$K$56,MATCH($A8,'Challenge Review'!$A$7:$A$56,0)),""),"")</f>
        <v>Unchecked</v>
      </c>
      <c r="H8" s="14">
        <f>IF(AND(AG8=1,IFERROR(INDEX('Review &amp; Decision'!$B$7:$B$56,MATCH($A8,'Review &amp; Decision'!$A$7:$A$56,0)),"")="Evidence-backed",OR(IFERROR(INDEX('Review &amp; Decision'!$C$7:$C$56,MATCH($A8,'Review &amp; Decision'!$A$7:$A$56,0)),"")="Equivalent or better",AND(IFERROR(INDEX('Review &amp; Decision'!$C$7:$C$56,MATCH($A8,'Review &amp; Decision'!$A$7:$A$56,0)),"")="Accepted reduction",COUNTIFS('Review &amp; Decision'!$A$7:$A$56,$A8,'Review &amp; Decision'!$L$7:$L$56,"&lt;&gt;")=1)),COUNTIFS('Review &amp; Decision'!$A$7:$A$56,$A8,'Review &amp; Decision'!$D$7:$D$56,"&lt;&gt;")=1,COUNTIFS('Review &amp; Decision'!$A$7:$A$56,$A8,'Review &amp; Decision'!$F$7:$F$56,"&lt;&gt;")=1,OR(IFERROR(INDEX('Review &amp; Decision'!$E$7:$E$56,MATCH($A8,'Review &amp; Decision'!$A$7:$A$56,0)),"")="Approved",IFERROR(INDEX('Review &amp; Decision'!$E$7:$E$56,MATCH($A8,'Review &amp; Decision'!$A$7:$A$56,0)),"")="Implemented"),ISNUMBER(IFERROR(INDEX('Review &amp; Decision'!$G$7:$G$56,MATCH($A8,'Review &amp; Decision'!$A$7:$A$56,0)),"")),IFERROR(INDEX('Review &amp; Decision'!$G$7:$G$56,MATCH($A8,'Review &amp; Decision'!$A$7:$A$56,0)),"")&gt;0,IFERROR(INDEX('Review &amp; Decision'!$G$7:$G$56,MATCH($A8,'Review &amp; Decision'!$A$7:$A$56,0)),"")&lt;=Settings!$B$7,ISNUMBER(IFERROR(INDEX('Review &amp; Decision'!$I$7:$I$56,MATCH($A8,'Review &amp; Decision'!$A$7:$A$56,0)),"")),IFERROR(INDEX('Review &amp; Decision'!$I$7:$I$56,MATCH($A8,'Review &amp; Decision'!$A$7:$A$56,0)),"")&gt;0,IFERROR(INDEX('Review &amp; Decision'!$I$7:$I$56,MATCH($A8,'Review &amp; Decision'!$A$7:$A$56,0)),"")&lt;=Settings!$B$7,IFERROR(INDEX('Review &amp; Decision'!$I$7:$I$56,MATCH($A8,'Review &amp; Decision'!$A$7:$A$56,0)),"")&gt;=IFERROR(INDEX('Review &amp; Decision'!$G$7:$G$56,MATCH($A8,'Review &amp; Decision'!$A$7:$A$56,0)),""),COUNTIFS('Review &amp; Decision'!$A$7:$A$56,$A8,'Review &amp; Decision'!$J$7:$J$56,"&lt;&gt;")=1,COUNTIFS('Review &amp; Decision'!$A$7:$A$56,$A8,'Review &amp; Decision'!$K$7:$K$56,"&lt;&gt;")=1,ISNUMBER(IFERROR(INDEX('Review &amp; Decision'!$J$7:$J$56,MATCH($A8,'Review &amp; Decision'!$A$7:$A$56,0)),"")),IFERROR(INDEX('Review &amp; Decision'!$J$7:$J$56,MATCH($A8,'Review &amp; Decision'!$A$7:$A$56,0)),"")&gt;=0,IFERROR(INDEX('Review &amp; Decision'!$J$7:$J$56,MATCH($A8,'Review &amp; Decision'!$A$7:$A$56,0)),"")&lt;=1,ISNUMBER(IFERROR(INDEX('Review &amp; Decision'!$K$7:$K$56,MATCH($A8,'Review &amp; Decision'!$A$7:$A$56,0)),"")),IFERROR(INDEX('Review &amp; Decision'!$K$7:$K$56,MATCH($A8,'Review &amp; Decision'!$A$7:$A$56,0)),"")&gt;=0,IFERROR(INDEX('Review &amp; Decision'!$K$7:$K$56,MATCH($A8,'Review &amp; Decision'!$A$7:$A$56,0)),"")&lt;=1,ISNUMBER(Settings!$B$7),Settings!$B$7&gt;0,OR(Settings!$B$8="Approved + measured",Settings!$B$8="Measured only"),LEN(TRIM(IF(COUNTIFS('Review &amp; Decision'!$A$7:$A$56,$A8,'Review &amp; Decision'!$D$7:$D$56,"&lt;&gt;")=1,IFERROR(INDEX('Review &amp; Decision'!$D$7:$D$56,MATCH($A8,'Review &amp; Decision'!$A$7:$A$56,0)),""),"")))&gt;0,LEN(TRIM(IF(COUNTIFS('Review &amp; Decision'!$A$7:$A$56,$A8,'Review &amp; Decision'!$F$7:$F$56,"&lt;&gt;")=1,IFERROR(INDEX('Review &amp; Decision'!$F$7:$F$56,MATCH($A8,'Review &amp; Decision'!$A$7:$A$56,0)),""),"")))&gt;0,OR(IFERROR(INDEX('Review &amp; Decision'!$C$7:$C$56,MATCH($A8,'Review &amp; Decision'!$A$7:$A$56,0)),"")&lt;&gt;"Accepted reduction",LEN(TRIM(IF(COUNTIFS('Review &amp; Decision'!$A$7:$A$56,$A8,'Review &amp; Decision'!$L$7:$L$56,"&lt;&gt;")=1,IFERROR(INDEX('Review &amp; Decision'!$L$7:$L$56,MATCH($A8,'Review &amp; Decision'!$A$7:$A$56,0)),""),"")))&gt;0)),1,0)</f>
        <v>0</v>
      </c>
      <c r="I8" s="14">
        <f>IF(AND(AG8=1,IFERROR(INDEX(Actuals!$M$7:$M$56,MATCH($A8,Actuals!$A$7:$A$56,0)),"")="Ready",IFERROR(INDEX(Actuals!$D$7:$D$56,MATCH($A8,Actuals!$A$7:$A$56,0)),"")&gt;=IFERROR(INDEX('Review &amp; Decision'!$I$7:$I$56,MATCH($A8,'Review &amp; Decision'!$A$7:$A$56,0)),"")),1,0)</f>
        <v>0</v>
      </c>
      <c r="J8" s="14" t="str">
        <f t="shared" si="0"/>
        <v>Example only — never in live planning</v>
      </c>
      <c r="K8" s="14">
        <f t="shared" si="1"/>
        <v>0</v>
      </c>
      <c r="L8" s="14">
        <f t="shared" si="2"/>
        <v>0</v>
      </c>
      <c r="M8" s="14">
        <f>IF(OR(L8=1,AND(K8=1,Settings!$B$8="Approved + measured")),1,0)</f>
        <v>0</v>
      </c>
      <c r="N8" s="14">
        <f>IF(E8=1,IFERROR(INDEX(Current!$H$7:$H$56,MATCH($A8,Current!$A$7:$A$56,0)),""),"")</f>
        <v>1733.3333333333333</v>
      </c>
      <c r="O8" s="14">
        <f>IF(F8=1,IFERROR(INDEX(Proposed!$I$7:$I$56,MATCH($A8,Proposed!$A$7:$A$56,0)),""),"")</f>
        <v>0</v>
      </c>
      <c r="P8" s="14">
        <f t="shared" si="3"/>
        <v>1733.3333333333333</v>
      </c>
      <c r="Q8" s="14">
        <f>IF(E8=1,IFERROR(INDEX(Current!$I$7:$I$56,MATCH($A8,Current!$A$7:$A$56,0)),""),"")</f>
        <v>0</v>
      </c>
      <c r="R8" s="14">
        <f>IF(F8=1,IFERROR(INDEX(Proposed!$J$7:$J$56,MATCH($A8,Proposed!$A$7:$A$56,0)),""),"")</f>
        <v>10</v>
      </c>
      <c r="S8" s="14">
        <f t="shared" si="4"/>
        <v>-10</v>
      </c>
      <c r="T8" s="14">
        <f>IF(E8=1,IFERROR(INDEX(Current!$E$7:$E$56,MATCH($A8,Current!$A$7:$A$56,0)),""),"")</f>
        <v>0</v>
      </c>
      <c r="U8" s="14">
        <f>IF(F8=1,IFERROR(INDEX(Proposed!$E$7:$E$56,MATCH($A8,Proposed!$A$7:$A$56,0)),""),"")</f>
        <v>0</v>
      </c>
      <c r="V8" s="14">
        <f t="shared" si="5"/>
        <v>0</v>
      </c>
      <c r="W8" s="14">
        <f>IF(E8=1,IFERROR(INDEX(Current!$K$7:$K$56,MATCH($A8,Current!$A$7:$A$56,0)),""),"")</f>
        <v>104000</v>
      </c>
      <c r="X8" s="14">
        <f>IF(F8=1,IFERROR(INDEX(Proposed!$L$7:$L$56,MATCH($A8,Proposed!$A$7:$A$56,0)),""),"")</f>
        <v>750</v>
      </c>
      <c r="Y8" s="14">
        <f t="shared" si="6"/>
        <v>103250</v>
      </c>
      <c r="Z8" s="14">
        <f>IF(F8=1,IFERROR(INDEX(Proposed!$F$7:$F$56,MATCH($A8,Proposed!$A$7:$A$56,0)),""),"")</f>
        <v>5000</v>
      </c>
      <c r="AA8" s="14">
        <f>IF(M8=1,IF(IF(L8=1,AL8,P8)&gt;0,IF(L8=1,AL8,P8)*IFERROR(INDEX('Review &amp; Decision'!$J$7:$J$56,MATCH($A8,'Review &amp; Decision'!$A$7:$A$56,0)),""),IF(L8=1,AL8,P8)),0)</f>
        <v>0</v>
      </c>
      <c r="AB8" s="14">
        <f>IF(M8=1,IF(IF(L8=1,AM8,S8)&gt;0,IF(L8=1,AM8,S8)*IFERROR(INDEX('Review &amp; Decision'!$K$7:$K$56,MATCH($A8,'Review &amp; Decision'!$A$7:$A$56,0)),""),IF(L8=1,AM8,S8)),0)</f>
        <v>0</v>
      </c>
      <c r="AC8" s="14">
        <f t="shared" si="7"/>
        <v>0</v>
      </c>
      <c r="AD8" s="14">
        <f t="shared" si="8"/>
        <v>0</v>
      </c>
      <c r="AE8" s="14">
        <f t="shared" si="9"/>
        <v>0</v>
      </c>
      <c r="AF8" s="14" t="str">
        <f t="shared" si="10"/>
        <v>No measurement warning</v>
      </c>
      <c r="AG8" s="14">
        <f>IF(AND(COUNTIF(Cases!$A$7:$A$56,$A8)=1,COUNTIF(Current!$A$7:$A$56,$A8)=1,COUNTIF(Proposed!$A$7:$A$56,$A8)=1,COUNTIF('Review &amp; Decision'!$A$7:$A$56,$A8)=1,COUNTIF('Challenge Review'!$A$7:$A$56,$A8)=1,COUNTIF(Actuals!$A$7:$A$56,$A8)=1,COUNTIF(Classification!$A$7:$A$56,$A8)=1),1,0)</f>
        <v>1</v>
      </c>
      <c r="AH8" s="14">
        <f t="shared" si="11"/>
        <v>1</v>
      </c>
      <c r="AI8" s="14" t="str">
        <f>IF(COUNTIFS('Review &amp; Decision'!$A$7:$A$56,$A8,'Review &amp; Decision'!$H$7:$H$56,"&lt;&gt;")=1,IFERROR(INDEX('Review &amp; Decision'!$H$7:$H$56,MATCH($A8,'Review &amp; Decision'!$A$7:$A$56,0)),""),"")</f>
        <v>Modeled</v>
      </c>
      <c r="AJ8" s="14" t="str">
        <f>IF(COUNTIFS('Review &amp; Decision'!$A$7:$A$56,$A8,'Review &amp; Decision'!$E$7:$E$56,"&lt;&gt;")=1,IFERROR(INDEX('Review &amp; Decision'!$E$7:$E$56,MATCH($A8,'Review &amp; Decision'!$A$7:$A$56,0)),""),"")</f>
        <v>Open</v>
      </c>
      <c r="AK8" s="14" t="str">
        <f>IF(COUNTIFS('Review &amp; Decision'!$A$7:$A$56,$A8,'Review &amp; Decision'!$B$7:$B$56,"&lt;&gt;")=1,IFERROR(INDEX('Review &amp; Decision'!$B$7:$B$56,MATCH($A8,'Review &amp; Decision'!$A$7:$A$56,0)),""),"")</f>
        <v>Hypothesis</v>
      </c>
      <c r="AL8" s="14" t="str">
        <f>IF(I8=1,IFERROR(INDEX(Actuals!$E$7:$E$56,MATCH($A8,Actuals!$A$7:$A$56,0)),""),"")</f>
        <v/>
      </c>
      <c r="AM8" s="14" t="str">
        <f>IF(I8=1,IFERROR(INDEX(Actuals!$F$7:$F$56,MATCH($A8,Actuals!$A$7:$A$56,0)),""),"")</f>
        <v/>
      </c>
      <c r="AN8" s="14" t="str">
        <f>IF(I8=1,IFERROR(INDEX(Actuals!$G$7:$G$56,MATCH($A8,Actuals!$A$7:$A$56,0)),""),"")</f>
        <v/>
      </c>
      <c r="AO8" s="14" t="str">
        <f>IF(I8=1,IFERROR(INDEX(Actuals!$G$7:$G$56,MATCH($A8,Actuals!$A$7:$A$56,0)),"")+IFERROR(INDEX(Actuals!$H$7:$H$56,MATCH($A8,Actuals!$A$7:$A$56,0)),""),"")</f>
        <v/>
      </c>
      <c r="AP8" s="14" t="str">
        <f>IF(COUNTIFS(Cases!$A$7:$A$56,$A8,Cases!$G$7:$G$56,"&lt;&gt;")=1,IFERROR(INDEX(Cases!$G$7:$G$56,MATCH($A8,Cases!$A$7:$A$56,0)),""),"")</f>
        <v>Replace</v>
      </c>
    </row>
    <row r="9" spans="1:42" ht="43.9" customHeight="1">
      <c r="A9" s="14" t="s">
        <v>78</v>
      </c>
      <c r="B9" s="14" t="str">
        <f>IF(COUNTIFS(Cases!$A$7:$A$56,$A9,Cases!$B$7:$B$56,"&lt;&gt;")=1,IFERROR(INDEX(Cases!$B$7:$B$56,MATCH($A9,Cases!$A$7:$A$56,0)),""),"")</f>
        <v>Example</v>
      </c>
      <c r="C9" s="14" t="str">
        <f>IF(COUNTIFS(Cases!$A$7:$A$56,$A9,Cases!$C$7:$C$56,"&lt;&gt;")=1,IFERROR(INDEX(Cases!$C$7:$C$56,MATCH($A9,Cases!$A$7:$A$56,0)),""),"")</f>
        <v>Awareness training and phishing exercises</v>
      </c>
      <c r="D9" s="14">
        <f>IF(AND(AG9=1,OR(B9="Example",B9="Live"),OR(AP9="Simplify",AP9="Replace",AP9="Reduce scope",AP9="Retire",AP9="Retain"),COUNTIFS(Cases!$A$7:$A$56,$A9,Cases!$C$7:$C$56,"&lt;&gt;")=1,COUNTIFS(Cases!$A$7:$A$56,$A9,Cases!$D$7:$D$56,"&lt;&gt;")=1,COUNTIFS(Cases!$A$7:$A$56,$A9,Cases!$E$7:$E$56,"&lt;&gt;")=1,COUNTIFS(Cases!$A$7:$A$56,$A9,Cases!$F$7:$F$56,"&lt;&gt;")=1,COUNTIFS(Cases!$A$7:$A$56,$A9,Cases!$H$7:$H$56,"&lt;&gt;")=1,COUNTIFS(Cases!$A$7:$A$56,$A9,Cases!$I$7:$I$56,"&lt;&gt;")=1,LEN(TRIM(IF(COUNTIFS(Cases!$A$7:$A$56,$A9,Cases!$C$7:$C$56,"&lt;&gt;")=1,IFERROR(INDEX(Cases!$C$7:$C$56,MATCH($A9,Cases!$A$7:$A$56,0)),""),"")))&gt;0,LEN(TRIM(IF(COUNTIFS(Cases!$A$7:$A$56,$A9,Cases!$D$7:$D$56,"&lt;&gt;")=1,IFERROR(INDEX(Cases!$D$7:$D$56,MATCH($A9,Cases!$A$7:$A$56,0)),""),"")))&gt;0,LEN(TRIM(IF(COUNTIFS(Cases!$A$7:$A$56,$A9,Cases!$E$7:$E$56,"&lt;&gt;")=1,IFERROR(INDEX(Cases!$E$7:$E$56,MATCH($A9,Cases!$A$7:$A$56,0)),""),"")))&gt;0,LEN(TRIM(IF(COUNTIFS(Cases!$A$7:$A$56,$A9,Cases!$F$7:$F$56,"&lt;&gt;")=1,IFERROR(INDEX(Cases!$F$7:$F$56,MATCH($A9,Cases!$A$7:$A$56,0)),""),"")))&gt;0,LEN(TRIM(IF(COUNTIFS(Cases!$A$7:$A$56,$A9,Cases!$H$7:$H$56,"&lt;&gt;")=1,IFERROR(INDEX(Cases!$H$7:$H$56,MATCH($A9,Cases!$A$7:$A$56,0)),""),"")))&gt;0,LEN(TRIM(IF(COUNTIFS(Cases!$A$7:$A$56,$A9,Cases!$I$7:$I$56,"&lt;&gt;")=1,IFERROR(INDEX(Cases!$I$7:$I$56,MATCH($A9,Cases!$A$7:$A$56,0)),""),"")))&gt;0),1,0)</f>
        <v>1</v>
      </c>
      <c r="E9" s="14">
        <f>IF(AND(AG9=1,IFERROR(INDEX(Current!$G$7:$G$56,MATCH($A9,Current!$A$7:$A$56,0)),"")="Ready"),1,0)</f>
        <v>1</v>
      </c>
      <c r="F9" s="14">
        <f>IF(AND(AG9=1,IFERROR(INDEX(Proposed!$H$7:$H$56,MATCH($A9,Proposed!$A$7:$A$56,0)),"")="Ready",OR(AP9&lt;&gt;"Retain",AND(IFERROR(INDEX(Current!$B$7:$B$56,MATCH($A9,Current!$A$7:$A$56,0)),"")=IFERROR(INDEX(Proposed!$B$7:$B$56,MATCH($A9,Proposed!$A$7:$A$56,0)),""),IFERROR(INDEX(Current!$C$7:$C$56,MATCH($A9,Current!$A$7:$A$56,0)),"")=IFERROR(INDEX(Proposed!$C$7:$C$56,MATCH($A9,Proposed!$A$7:$A$56,0)),""),IFERROR(INDEX(Current!$D$7:$D$56,MATCH($A9,Current!$A$7:$A$56,0)),"")=IFERROR(INDEX(Proposed!$D$7:$D$56,MATCH($A9,Proposed!$A$7:$A$56,0)),""),IFERROR(INDEX(Current!$E$7:$E$56,MATCH($A9,Current!$A$7:$A$56,0)),"")=IFERROR(INDEX(Proposed!$E$7:$E$56,MATCH($A9,Proposed!$A$7:$A$56,0)),"")))),1,0)</f>
        <v>1</v>
      </c>
      <c r="G9" s="14" t="str">
        <f>IF(COUNTIFS('Challenge Review'!$A$7:$A$56,$A9,'Challenge Review'!$K$7:$K$56,"&lt;&gt;")=1,IFERROR(INDEX('Challenge Review'!$K$7:$K$56,MATCH($A9,'Challenge Review'!$A$7:$A$56,0)),""),"")</f>
        <v>Unchecked</v>
      </c>
      <c r="H9" s="14">
        <f>IF(AND(AG9=1,IFERROR(INDEX('Review &amp; Decision'!$B$7:$B$56,MATCH($A9,'Review &amp; Decision'!$A$7:$A$56,0)),"")="Evidence-backed",OR(IFERROR(INDEX('Review &amp; Decision'!$C$7:$C$56,MATCH($A9,'Review &amp; Decision'!$A$7:$A$56,0)),"")="Equivalent or better",AND(IFERROR(INDEX('Review &amp; Decision'!$C$7:$C$56,MATCH($A9,'Review &amp; Decision'!$A$7:$A$56,0)),"")="Accepted reduction",COUNTIFS('Review &amp; Decision'!$A$7:$A$56,$A9,'Review &amp; Decision'!$L$7:$L$56,"&lt;&gt;")=1)),COUNTIFS('Review &amp; Decision'!$A$7:$A$56,$A9,'Review &amp; Decision'!$D$7:$D$56,"&lt;&gt;")=1,COUNTIFS('Review &amp; Decision'!$A$7:$A$56,$A9,'Review &amp; Decision'!$F$7:$F$56,"&lt;&gt;")=1,OR(IFERROR(INDEX('Review &amp; Decision'!$E$7:$E$56,MATCH($A9,'Review &amp; Decision'!$A$7:$A$56,0)),"")="Approved",IFERROR(INDEX('Review &amp; Decision'!$E$7:$E$56,MATCH($A9,'Review &amp; Decision'!$A$7:$A$56,0)),"")="Implemented"),ISNUMBER(IFERROR(INDEX('Review &amp; Decision'!$G$7:$G$56,MATCH($A9,'Review &amp; Decision'!$A$7:$A$56,0)),"")),IFERROR(INDEX('Review &amp; Decision'!$G$7:$G$56,MATCH($A9,'Review &amp; Decision'!$A$7:$A$56,0)),"")&gt;0,IFERROR(INDEX('Review &amp; Decision'!$G$7:$G$56,MATCH($A9,'Review &amp; Decision'!$A$7:$A$56,0)),"")&lt;=Settings!$B$7,ISNUMBER(IFERROR(INDEX('Review &amp; Decision'!$I$7:$I$56,MATCH($A9,'Review &amp; Decision'!$A$7:$A$56,0)),"")),IFERROR(INDEX('Review &amp; Decision'!$I$7:$I$56,MATCH($A9,'Review &amp; Decision'!$A$7:$A$56,0)),"")&gt;0,IFERROR(INDEX('Review &amp; Decision'!$I$7:$I$56,MATCH($A9,'Review &amp; Decision'!$A$7:$A$56,0)),"")&lt;=Settings!$B$7,IFERROR(INDEX('Review &amp; Decision'!$I$7:$I$56,MATCH($A9,'Review &amp; Decision'!$A$7:$A$56,0)),"")&gt;=IFERROR(INDEX('Review &amp; Decision'!$G$7:$G$56,MATCH($A9,'Review &amp; Decision'!$A$7:$A$56,0)),""),COUNTIFS('Review &amp; Decision'!$A$7:$A$56,$A9,'Review &amp; Decision'!$J$7:$J$56,"&lt;&gt;")=1,COUNTIFS('Review &amp; Decision'!$A$7:$A$56,$A9,'Review &amp; Decision'!$K$7:$K$56,"&lt;&gt;")=1,ISNUMBER(IFERROR(INDEX('Review &amp; Decision'!$J$7:$J$56,MATCH($A9,'Review &amp; Decision'!$A$7:$A$56,0)),"")),IFERROR(INDEX('Review &amp; Decision'!$J$7:$J$56,MATCH($A9,'Review &amp; Decision'!$A$7:$A$56,0)),"")&gt;=0,IFERROR(INDEX('Review &amp; Decision'!$J$7:$J$56,MATCH($A9,'Review &amp; Decision'!$A$7:$A$56,0)),"")&lt;=1,ISNUMBER(IFERROR(INDEX('Review &amp; Decision'!$K$7:$K$56,MATCH($A9,'Review &amp; Decision'!$A$7:$A$56,0)),"")),IFERROR(INDEX('Review &amp; Decision'!$K$7:$K$56,MATCH($A9,'Review &amp; Decision'!$A$7:$A$56,0)),"")&gt;=0,IFERROR(INDEX('Review &amp; Decision'!$K$7:$K$56,MATCH($A9,'Review &amp; Decision'!$A$7:$A$56,0)),"")&lt;=1,ISNUMBER(Settings!$B$7),Settings!$B$7&gt;0,OR(Settings!$B$8="Approved + measured",Settings!$B$8="Measured only"),LEN(TRIM(IF(COUNTIFS('Review &amp; Decision'!$A$7:$A$56,$A9,'Review &amp; Decision'!$D$7:$D$56,"&lt;&gt;")=1,IFERROR(INDEX('Review &amp; Decision'!$D$7:$D$56,MATCH($A9,'Review &amp; Decision'!$A$7:$A$56,0)),""),"")))&gt;0,LEN(TRIM(IF(COUNTIFS('Review &amp; Decision'!$A$7:$A$56,$A9,'Review &amp; Decision'!$F$7:$F$56,"&lt;&gt;")=1,IFERROR(INDEX('Review &amp; Decision'!$F$7:$F$56,MATCH($A9,'Review &amp; Decision'!$A$7:$A$56,0)),""),"")))&gt;0,OR(IFERROR(INDEX('Review &amp; Decision'!$C$7:$C$56,MATCH($A9,'Review &amp; Decision'!$A$7:$A$56,0)),"")&lt;&gt;"Accepted reduction",LEN(TRIM(IF(COUNTIFS('Review &amp; Decision'!$A$7:$A$56,$A9,'Review &amp; Decision'!$L$7:$L$56,"&lt;&gt;")=1,IFERROR(INDEX('Review &amp; Decision'!$L$7:$L$56,MATCH($A9,'Review &amp; Decision'!$A$7:$A$56,0)),""),"")))&gt;0)),1,0)</f>
        <v>0</v>
      </c>
      <c r="I9" s="14">
        <f>IF(AND(AG9=1,IFERROR(INDEX(Actuals!$M$7:$M$56,MATCH($A9,Actuals!$A$7:$A$56,0)),"")="Ready",IFERROR(INDEX(Actuals!$D$7:$D$56,MATCH($A9,Actuals!$A$7:$A$56,0)),"")&gt;=IFERROR(INDEX('Review &amp; Decision'!$I$7:$I$56,MATCH($A9,'Review &amp; Decision'!$A$7:$A$56,0)),"")),1,0)</f>
        <v>0</v>
      </c>
      <c r="J9" s="14" t="str">
        <f t="shared" si="0"/>
        <v>Example only — never in live planning</v>
      </c>
      <c r="K9" s="14">
        <f t="shared" si="1"/>
        <v>0</v>
      </c>
      <c r="L9" s="14">
        <f t="shared" si="2"/>
        <v>0</v>
      </c>
      <c r="M9" s="14">
        <f>IF(OR(L9=1,AND(K9=1,Settings!$B$8="Approved + measured")),1,0)</f>
        <v>0</v>
      </c>
      <c r="N9" s="14">
        <f>IF(E9=1,IFERROR(INDEX(Current!$H$7:$H$56,MATCH($A9,Current!$A$7:$A$56,0)),""),"")</f>
        <v>2296.6666666666665</v>
      </c>
      <c r="O9" s="14">
        <f>IF(F9=1,IFERROR(INDEX(Proposed!$I$7:$I$56,MATCH($A9,Proposed!$A$7:$A$56,0)),""),"")</f>
        <v>400</v>
      </c>
      <c r="P9" s="14">
        <f t="shared" si="3"/>
        <v>1896.6666666666665</v>
      </c>
      <c r="Q9" s="14">
        <f>IF(E9=1,IFERROR(INDEX(Current!$I$7:$I$56,MATCH($A9,Current!$A$7:$A$56,0)),""),"")</f>
        <v>200</v>
      </c>
      <c r="R9" s="14">
        <f>IF(F9=1,IFERROR(INDEX(Proposed!$J$7:$J$56,MATCH($A9,Proposed!$A$7:$A$56,0)),""),"")</f>
        <v>60</v>
      </c>
      <c r="S9" s="14">
        <f t="shared" si="4"/>
        <v>140</v>
      </c>
      <c r="T9" s="14">
        <f>IF(E9=1,IFERROR(INDEX(Current!$E$7:$E$56,MATCH($A9,Current!$A$7:$A$56,0)),""),"")</f>
        <v>0</v>
      </c>
      <c r="U9" s="14">
        <f>IF(F9=1,IFERROR(INDEX(Proposed!$E$7:$E$56,MATCH($A9,Proposed!$A$7:$A$56,0)),""),"")</f>
        <v>0</v>
      </c>
      <c r="V9" s="14">
        <f t="shared" si="5"/>
        <v>0</v>
      </c>
      <c r="W9" s="14">
        <f>IF(E9=1,IFERROR(INDEX(Current!$K$7:$K$56,MATCH($A9,Current!$A$7:$A$56,0)),""),"")</f>
        <v>152800</v>
      </c>
      <c r="X9" s="14">
        <f>IF(F9=1,IFERROR(INDEX(Proposed!$L$7:$L$56,MATCH($A9,Proposed!$A$7:$A$56,0)),""),"")</f>
        <v>28500</v>
      </c>
      <c r="Y9" s="14">
        <f t="shared" si="6"/>
        <v>124300</v>
      </c>
      <c r="Z9" s="14">
        <f>IF(F9=1,IFERROR(INDEX(Proposed!$F$7:$F$56,MATCH($A9,Proposed!$A$7:$A$56,0)),""),"")</f>
        <v>5000</v>
      </c>
      <c r="AA9" s="14">
        <f>IF(M9=1,IF(IF(L9=1,AL9,P9)&gt;0,IF(L9=1,AL9,P9)*IFERROR(INDEX('Review &amp; Decision'!$J$7:$J$56,MATCH($A9,'Review &amp; Decision'!$A$7:$A$56,0)),""),IF(L9=1,AL9,P9)),0)</f>
        <v>0</v>
      </c>
      <c r="AB9" s="14">
        <f>IF(M9=1,IF(IF(L9=1,AM9,S9)&gt;0,IF(L9=1,AM9,S9)*IFERROR(INDEX('Review &amp; Decision'!$K$7:$K$56,MATCH($A9,'Review &amp; Decision'!$A$7:$A$56,0)),""),IF(L9=1,AM9,S9)),0)</f>
        <v>0</v>
      </c>
      <c r="AC9" s="14">
        <f t="shared" si="7"/>
        <v>0</v>
      </c>
      <c r="AD9" s="14">
        <f t="shared" si="8"/>
        <v>0</v>
      </c>
      <c r="AE9" s="14">
        <f t="shared" si="9"/>
        <v>0</v>
      </c>
      <c r="AF9" s="14" t="str">
        <f t="shared" si="10"/>
        <v>No measurement warning</v>
      </c>
      <c r="AG9" s="14">
        <f>IF(AND(COUNTIF(Cases!$A$7:$A$56,$A9)=1,COUNTIF(Current!$A$7:$A$56,$A9)=1,COUNTIF(Proposed!$A$7:$A$56,$A9)=1,COUNTIF('Review &amp; Decision'!$A$7:$A$56,$A9)=1,COUNTIF('Challenge Review'!$A$7:$A$56,$A9)=1,COUNTIF(Actuals!$A$7:$A$56,$A9)=1,COUNTIF(Classification!$A$7:$A$56,$A9)=1),1,0)</f>
        <v>1</v>
      </c>
      <c r="AH9" s="14">
        <f t="shared" si="11"/>
        <v>1</v>
      </c>
      <c r="AI9" s="14" t="str">
        <f>IF(COUNTIFS('Review &amp; Decision'!$A$7:$A$56,$A9,'Review &amp; Decision'!$H$7:$H$56,"&lt;&gt;")=1,IFERROR(INDEX('Review &amp; Decision'!$H$7:$H$56,MATCH($A9,'Review &amp; Decision'!$A$7:$A$56,0)),""),"")</f>
        <v>Modeled</v>
      </c>
      <c r="AJ9" s="14" t="str">
        <f>IF(COUNTIFS('Review &amp; Decision'!$A$7:$A$56,$A9,'Review &amp; Decision'!$E$7:$E$56,"&lt;&gt;")=1,IFERROR(INDEX('Review &amp; Decision'!$E$7:$E$56,MATCH($A9,'Review &amp; Decision'!$A$7:$A$56,0)),""),"")</f>
        <v>Open</v>
      </c>
      <c r="AK9" s="14" t="str">
        <f>IF(COUNTIFS('Review &amp; Decision'!$A$7:$A$56,$A9,'Review &amp; Decision'!$B$7:$B$56,"&lt;&gt;")=1,IFERROR(INDEX('Review &amp; Decision'!$B$7:$B$56,MATCH($A9,'Review &amp; Decision'!$A$7:$A$56,0)),""),"")</f>
        <v>Hypothesis</v>
      </c>
      <c r="AL9" s="14" t="str">
        <f>IF(I9=1,IFERROR(INDEX(Actuals!$E$7:$E$56,MATCH($A9,Actuals!$A$7:$A$56,0)),""),"")</f>
        <v/>
      </c>
      <c r="AM9" s="14" t="str">
        <f>IF(I9=1,IFERROR(INDEX(Actuals!$F$7:$F$56,MATCH($A9,Actuals!$A$7:$A$56,0)),""),"")</f>
        <v/>
      </c>
      <c r="AN9" s="14" t="str">
        <f>IF(I9=1,IFERROR(INDEX(Actuals!$G$7:$G$56,MATCH($A9,Actuals!$A$7:$A$56,0)),""),"")</f>
        <v/>
      </c>
      <c r="AO9" s="14" t="str">
        <f>IF(I9=1,IFERROR(INDEX(Actuals!$G$7:$G$56,MATCH($A9,Actuals!$A$7:$A$56,0)),"")+IFERROR(INDEX(Actuals!$H$7:$H$56,MATCH($A9,Actuals!$A$7:$A$56,0)),""),"")</f>
        <v/>
      </c>
      <c r="AP9" s="14" t="str">
        <f>IF(COUNTIFS(Cases!$A$7:$A$56,$A9,Cases!$G$7:$G$56,"&lt;&gt;")=1,IFERROR(INDEX(Cases!$G$7:$G$56,MATCH($A9,Cases!$A$7:$A$56,0)),""),"")</f>
        <v>Simplify</v>
      </c>
    </row>
    <row r="10" spans="1:42" ht="43.9" customHeight="1">
      <c r="A10" s="14" t="s">
        <v>82</v>
      </c>
      <c r="B10" s="14" t="str">
        <f>IF(COUNTIFS(Cases!$A$7:$A$56,$A10,Cases!$B$7:$B$56,"&lt;&gt;")=1,IFERROR(INDEX(Cases!$B$7:$B$56,MATCH($A10,Cases!$A$7:$A$56,0)),""),"")</f>
        <v>Example</v>
      </c>
      <c r="C10" s="14" t="str">
        <f>IF(COUNTIFS(Cases!$A$7:$A$56,$A10,Cases!$C$7:$C$56,"&lt;&gt;")=1,IFERROR(INDEX(Cases!$C$7:$C$56,MATCH($A10,Cases!$A$7:$A$56,0)),""),"")</f>
        <v>Quarterly access reviews</v>
      </c>
      <c r="D10" s="14">
        <f>IF(AND(AG10=1,OR(B10="Example",B10="Live"),OR(AP10="Simplify",AP10="Replace",AP10="Reduce scope",AP10="Retire",AP10="Retain"),COUNTIFS(Cases!$A$7:$A$56,$A10,Cases!$C$7:$C$56,"&lt;&gt;")=1,COUNTIFS(Cases!$A$7:$A$56,$A10,Cases!$D$7:$D$56,"&lt;&gt;")=1,COUNTIFS(Cases!$A$7:$A$56,$A10,Cases!$E$7:$E$56,"&lt;&gt;")=1,COUNTIFS(Cases!$A$7:$A$56,$A10,Cases!$F$7:$F$56,"&lt;&gt;")=1,COUNTIFS(Cases!$A$7:$A$56,$A10,Cases!$H$7:$H$56,"&lt;&gt;")=1,COUNTIFS(Cases!$A$7:$A$56,$A10,Cases!$I$7:$I$56,"&lt;&gt;")=1,LEN(TRIM(IF(COUNTIFS(Cases!$A$7:$A$56,$A10,Cases!$C$7:$C$56,"&lt;&gt;")=1,IFERROR(INDEX(Cases!$C$7:$C$56,MATCH($A10,Cases!$A$7:$A$56,0)),""),"")))&gt;0,LEN(TRIM(IF(COUNTIFS(Cases!$A$7:$A$56,$A10,Cases!$D$7:$D$56,"&lt;&gt;")=1,IFERROR(INDEX(Cases!$D$7:$D$56,MATCH($A10,Cases!$A$7:$A$56,0)),""),"")))&gt;0,LEN(TRIM(IF(COUNTIFS(Cases!$A$7:$A$56,$A10,Cases!$E$7:$E$56,"&lt;&gt;")=1,IFERROR(INDEX(Cases!$E$7:$E$56,MATCH($A10,Cases!$A$7:$A$56,0)),""),"")))&gt;0,LEN(TRIM(IF(COUNTIFS(Cases!$A$7:$A$56,$A10,Cases!$F$7:$F$56,"&lt;&gt;")=1,IFERROR(INDEX(Cases!$F$7:$F$56,MATCH($A10,Cases!$A$7:$A$56,0)),""),"")))&gt;0,LEN(TRIM(IF(COUNTIFS(Cases!$A$7:$A$56,$A10,Cases!$H$7:$H$56,"&lt;&gt;")=1,IFERROR(INDEX(Cases!$H$7:$H$56,MATCH($A10,Cases!$A$7:$A$56,0)),""),"")))&gt;0,LEN(TRIM(IF(COUNTIFS(Cases!$A$7:$A$56,$A10,Cases!$I$7:$I$56,"&lt;&gt;")=1,IFERROR(INDEX(Cases!$I$7:$I$56,MATCH($A10,Cases!$A$7:$A$56,0)),""),"")))&gt;0),1,0)</f>
        <v>1</v>
      </c>
      <c r="E10" s="14">
        <f>IF(AND(AG10=1,IFERROR(INDEX(Current!$G$7:$G$56,MATCH($A10,Current!$A$7:$A$56,0)),"")="Ready"),1,0)</f>
        <v>1</v>
      </c>
      <c r="F10" s="14">
        <f>IF(AND(AG10=1,IFERROR(INDEX(Proposed!$H$7:$H$56,MATCH($A10,Proposed!$A$7:$A$56,0)),"")="Ready",OR(AP10&lt;&gt;"Retain",AND(IFERROR(INDEX(Current!$B$7:$B$56,MATCH($A10,Current!$A$7:$A$56,0)),"")=IFERROR(INDEX(Proposed!$B$7:$B$56,MATCH($A10,Proposed!$A$7:$A$56,0)),""),IFERROR(INDEX(Current!$C$7:$C$56,MATCH($A10,Current!$A$7:$A$56,0)),"")=IFERROR(INDEX(Proposed!$C$7:$C$56,MATCH($A10,Proposed!$A$7:$A$56,0)),""),IFERROR(INDEX(Current!$D$7:$D$56,MATCH($A10,Current!$A$7:$A$56,0)),"")=IFERROR(INDEX(Proposed!$D$7:$D$56,MATCH($A10,Proposed!$A$7:$A$56,0)),""),IFERROR(INDEX(Current!$E$7:$E$56,MATCH($A10,Current!$A$7:$A$56,0)),"")=IFERROR(INDEX(Proposed!$E$7:$E$56,MATCH($A10,Proposed!$A$7:$A$56,0)),"")))),1,0)</f>
        <v>1</v>
      </c>
      <c r="G10" s="14" t="str">
        <f>IF(COUNTIFS('Challenge Review'!$A$7:$A$56,$A10,'Challenge Review'!$K$7:$K$56,"&lt;&gt;")=1,IFERROR(INDEX('Challenge Review'!$K$7:$K$56,MATCH($A10,'Challenge Review'!$A$7:$A$56,0)),""),"")</f>
        <v>Unchecked</v>
      </c>
      <c r="H10" s="14">
        <f>IF(AND(AG10=1,IFERROR(INDEX('Review &amp; Decision'!$B$7:$B$56,MATCH($A10,'Review &amp; Decision'!$A$7:$A$56,0)),"")="Evidence-backed",OR(IFERROR(INDEX('Review &amp; Decision'!$C$7:$C$56,MATCH($A10,'Review &amp; Decision'!$A$7:$A$56,0)),"")="Equivalent or better",AND(IFERROR(INDEX('Review &amp; Decision'!$C$7:$C$56,MATCH($A10,'Review &amp; Decision'!$A$7:$A$56,0)),"")="Accepted reduction",COUNTIFS('Review &amp; Decision'!$A$7:$A$56,$A10,'Review &amp; Decision'!$L$7:$L$56,"&lt;&gt;")=1)),COUNTIFS('Review &amp; Decision'!$A$7:$A$56,$A10,'Review &amp; Decision'!$D$7:$D$56,"&lt;&gt;")=1,COUNTIFS('Review &amp; Decision'!$A$7:$A$56,$A10,'Review &amp; Decision'!$F$7:$F$56,"&lt;&gt;")=1,OR(IFERROR(INDEX('Review &amp; Decision'!$E$7:$E$56,MATCH($A10,'Review &amp; Decision'!$A$7:$A$56,0)),"")="Approved",IFERROR(INDEX('Review &amp; Decision'!$E$7:$E$56,MATCH($A10,'Review &amp; Decision'!$A$7:$A$56,0)),"")="Implemented"),ISNUMBER(IFERROR(INDEX('Review &amp; Decision'!$G$7:$G$56,MATCH($A10,'Review &amp; Decision'!$A$7:$A$56,0)),"")),IFERROR(INDEX('Review &amp; Decision'!$G$7:$G$56,MATCH($A10,'Review &amp; Decision'!$A$7:$A$56,0)),"")&gt;0,IFERROR(INDEX('Review &amp; Decision'!$G$7:$G$56,MATCH($A10,'Review &amp; Decision'!$A$7:$A$56,0)),"")&lt;=Settings!$B$7,ISNUMBER(IFERROR(INDEX('Review &amp; Decision'!$I$7:$I$56,MATCH($A10,'Review &amp; Decision'!$A$7:$A$56,0)),"")),IFERROR(INDEX('Review &amp; Decision'!$I$7:$I$56,MATCH($A10,'Review &amp; Decision'!$A$7:$A$56,0)),"")&gt;0,IFERROR(INDEX('Review &amp; Decision'!$I$7:$I$56,MATCH($A10,'Review &amp; Decision'!$A$7:$A$56,0)),"")&lt;=Settings!$B$7,IFERROR(INDEX('Review &amp; Decision'!$I$7:$I$56,MATCH($A10,'Review &amp; Decision'!$A$7:$A$56,0)),"")&gt;=IFERROR(INDEX('Review &amp; Decision'!$G$7:$G$56,MATCH($A10,'Review &amp; Decision'!$A$7:$A$56,0)),""),COUNTIFS('Review &amp; Decision'!$A$7:$A$56,$A10,'Review &amp; Decision'!$J$7:$J$56,"&lt;&gt;")=1,COUNTIFS('Review &amp; Decision'!$A$7:$A$56,$A10,'Review &amp; Decision'!$K$7:$K$56,"&lt;&gt;")=1,ISNUMBER(IFERROR(INDEX('Review &amp; Decision'!$J$7:$J$56,MATCH($A10,'Review &amp; Decision'!$A$7:$A$56,0)),"")),IFERROR(INDEX('Review &amp; Decision'!$J$7:$J$56,MATCH($A10,'Review &amp; Decision'!$A$7:$A$56,0)),"")&gt;=0,IFERROR(INDEX('Review &amp; Decision'!$J$7:$J$56,MATCH($A10,'Review &amp; Decision'!$A$7:$A$56,0)),"")&lt;=1,ISNUMBER(IFERROR(INDEX('Review &amp; Decision'!$K$7:$K$56,MATCH($A10,'Review &amp; Decision'!$A$7:$A$56,0)),"")),IFERROR(INDEX('Review &amp; Decision'!$K$7:$K$56,MATCH($A10,'Review &amp; Decision'!$A$7:$A$56,0)),"")&gt;=0,IFERROR(INDEX('Review &amp; Decision'!$K$7:$K$56,MATCH($A10,'Review &amp; Decision'!$A$7:$A$56,0)),"")&lt;=1,ISNUMBER(Settings!$B$7),Settings!$B$7&gt;0,OR(Settings!$B$8="Approved + measured",Settings!$B$8="Measured only"),LEN(TRIM(IF(COUNTIFS('Review &amp; Decision'!$A$7:$A$56,$A10,'Review &amp; Decision'!$D$7:$D$56,"&lt;&gt;")=1,IFERROR(INDEX('Review &amp; Decision'!$D$7:$D$56,MATCH($A10,'Review &amp; Decision'!$A$7:$A$56,0)),""),"")))&gt;0,LEN(TRIM(IF(COUNTIFS('Review &amp; Decision'!$A$7:$A$56,$A10,'Review &amp; Decision'!$F$7:$F$56,"&lt;&gt;")=1,IFERROR(INDEX('Review &amp; Decision'!$F$7:$F$56,MATCH($A10,'Review &amp; Decision'!$A$7:$A$56,0)),""),"")))&gt;0,OR(IFERROR(INDEX('Review &amp; Decision'!$C$7:$C$56,MATCH($A10,'Review &amp; Decision'!$A$7:$A$56,0)),"")&lt;&gt;"Accepted reduction",LEN(TRIM(IF(COUNTIFS('Review &amp; Decision'!$A$7:$A$56,$A10,'Review &amp; Decision'!$L$7:$L$56,"&lt;&gt;")=1,IFERROR(INDEX('Review &amp; Decision'!$L$7:$L$56,MATCH($A10,'Review &amp; Decision'!$A$7:$A$56,0)),""),"")))&gt;0)),1,0)</f>
        <v>0</v>
      </c>
      <c r="I10" s="14">
        <f>IF(AND(AG10=1,IFERROR(INDEX(Actuals!$M$7:$M$56,MATCH($A10,Actuals!$A$7:$A$56,0)),"")="Ready",IFERROR(INDEX(Actuals!$D$7:$D$56,MATCH($A10,Actuals!$A$7:$A$56,0)),"")&gt;=IFERROR(INDEX('Review &amp; Decision'!$I$7:$I$56,MATCH($A10,'Review &amp; Decision'!$A$7:$A$56,0)),"")),1,0)</f>
        <v>0</v>
      </c>
      <c r="J10" s="14" t="str">
        <f t="shared" si="0"/>
        <v>Example only — never in live planning</v>
      </c>
      <c r="K10" s="14">
        <f t="shared" si="1"/>
        <v>0</v>
      </c>
      <c r="L10" s="14">
        <f t="shared" si="2"/>
        <v>0</v>
      </c>
      <c r="M10" s="14">
        <f>IF(OR(L10=1,AND(K10=1,Settings!$B$8="Approved + measured")),1,0)</f>
        <v>0</v>
      </c>
      <c r="N10" s="14">
        <f>IF(E10=1,IFERROR(INDEX(Current!$H$7:$H$56,MATCH($A10,Current!$A$7:$A$56,0)),""),"")</f>
        <v>800</v>
      </c>
      <c r="O10" s="14">
        <f>IF(F10=1,IFERROR(INDEX(Proposed!$I$7:$I$56,MATCH($A10,Proposed!$A$7:$A$56,0)),""),"")</f>
        <v>100</v>
      </c>
      <c r="P10" s="14">
        <f t="shared" si="3"/>
        <v>700</v>
      </c>
      <c r="Q10" s="14">
        <f>IF(E10=1,IFERROR(INDEX(Current!$I$7:$I$56,MATCH($A10,Current!$A$7:$A$56,0)),""),"")</f>
        <v>160</v>
      </c>
      <c r="R10" s="14">
        <f>IF(F10=1,IFERROR(INDEX(Proposed!$J$7:$J$56,MATCH($A10,Proposed!$A$7:$A$56,0)),""),"")</f>
        <v>40</v>
      </c>
      <c r="S10" s="14">
        <f t="shared" si="4"/>
        <v>120</v>
      </c>
      <c r="T10" s="14">
        <f>IF(E10=1,IFERROR(INDEX(Current!$E$7:$E$56,MATCH($A10,Current!$A$7:$A$56,0)),""),"")</f>
        <v>0</v>
      </c>
      <c r="U10" s="14">
        <f>IF(F10=1,IFERROR(INDEX(Proposed!$E$7:$E$56,MATCH($A10,Proposed!$A$7:$A$56,0)),""),"")</f>
        <v>15000</v>
      </c>
      <c r="V10" s="14">
        <f t="shared" si="5"/>
        <v>-15000</v>
      </c>
      <c r="W10" s="14">
        <f>IF(E10=1,IFERROR(INDEX(Current!$K$7:$K$56,MATCH($A10,Current!$A$7:$A$56,0)),""),"")</f>
        <v>84000</v>
      </c>
      <c r="X10" s="14">
        <f>IF(F10=1,IFERROR(INDEX(Proposed!$L$7:$L$56,MATCH($A10,Proposed!$A$7:$A$56,0)),""),"")</f>
        <v>27000</v>
      </c>
      <c r="Y10" s="14">
        <f t="shared" si="6"/>
        <v>57000</v>
      </c>
      <c r="Z10" s="14">
        <f>IF(F10=1,IFERROR(INDEX(Proposed!$F$7:$F$56,MATCH($A10,Proposed!$A$7:$A$56,0)),""),"")</f>
        <v>25000</v>
      </c>
      <c r="AA10" s="14">
        <f>IF(M10=1,IF(IF(L10=1,AL10,P10)&gt;0,IF(L10=1,AL10,P10)*IFERROR(INDEX('Review &amp; Decision'!$J$7:$J$56,MATCH($A10,'Review &amp; Decision'!$A$7:$A$56,0)),""),IF(L10=1,AL10,P10)),0)</f>
        <v>0</v>
      </c>
      <c r="AB10" s="14">
        <f>IF(M10=1,IF(IF(L10=1,AM10,S10)&gt;0,IF(L10=1,AM10,S10)*IFERROR(INDEX('Review &amp; Decision'!$K$7:$K$56,MATCH($A10,'Review &amp; Decision'!$A$7:$A$56,0)),""),IF(L10=1,AM10,S10)),0)</f>
        <v>0</v>
      </c>
      <c r="AC10" s="14">
        <f t="shared" si="7"/>
        <v>0</v>
      </c>
      <c r="AD10" s="14">
        <f t="shared" si="8"/>
        <v>0</v>
      </c>
      <c r="AE10" s="14">
        <f t="shared" si="9"/>
        <v>0</v>
      </c>
      <c r="AF10" s="14" t="str">
        <f t="shared" si="10"/>
        <v>No measurement warning</v>
      </c>
      <c r="AG10" s="14">
        <f>IF(AND(COUNTIF(Cases!$A$7:$A$56,$A10)=1,COUNTIF(Current!$A$7:$A$56,$A10)=1,COUNTIF(Proposed!$A$7:$A$56,$A10)=1,COUNTIF('Review &amp; Decision'!$A$7:$A$56,$A10)=1,COUNTIF('Challenge Review'!$A$7:$A$56,$A10)=1,COUNTIF(Actuals!$A$7:$A$56,$A10)=1,COUNTIF(Classification!$A$7:$A$56,$A10)=1),1,0)</f>
        <v>1</v>
      </c>
      <c r="AH10" s="14">
        <f t="shared" si="11"/>
        <v>1</v>
      </c>
      <c r="AI10" s="14" t="str">
        <f>IF(COUNTIFS('Review &amp; Decision'!$A$7:$A$56,$A10,'Review &amp; Decision'!$H$7:$H$56,"&lt;&gt;")=1,IFERROR(INDEX('Review &amp; Decision'!$H$7:$H$56,MATCH($A10,'Review &amp; Decision'!$A$7:$A$56,0)),""),"")</f>
        <v>Modeled</v>
      </c>
      <c r="AJ10" s="14" t="str">
        <f>IF(COUNTIFS('Review &amp; Decision'!$A$7:$A$56,$A10,'Review &amp; Decision'!$E$7:$E$56,"&lt;&gt;")=1,IFERROR(INDEX('Review &amp; Decision'!$E$7:$E$56,MATCH($A10,'Review &amp; Decision'!$A$7:$A$56,0)),""),"")</f>
        <v>Open</v>
      </c>
      <c r="AK10" s="14" t="str">
        <f>IF(COUNTIFS('Review &amp; Decision'!$A$7:$A$56,$A10,'Review &amp; Decision'!$B$7:$B$56,"&lt;&gt;")=1,IFERROR(INDEX('Review &amp; Decision'!$B$7:$B$56,MATCH($A10,'Review &amp; Decision'!$A$7:$A$56,0)),""),"")</f>
        <v>Hypothesis</v>
      </c>
      <c r="AL10" s="14" t="str">
        <f>IF(I10=1,IFERROR(INDEX(Actuals!$E$7:$E$56,MATCH($A10,Actuals!$A$7:$A$56,0)),""),"")</f>
        <v/>
      </c>
      <c r="AM10" s="14" t="str">
        <f>IF(I10=1,IFERROR(INDEX(Actuals!$F$7:$F$56,MATCH($A10,Actuals!$A$7:$A$56,0)),""),"")</f>
        <v/>
      </c>
      <c r="AN10" s="14" t="str">
        <f>IF(I10=1,IFERROR(INDEX(Actuals!$G$7:$G$56,MATCH($A10,Actuals!$A$7:$A$56,0)),""),"")</f>
        <v/>
      </c>
      <c r="AO10" s="14" t="str">
        <f>IF(I10=1,IFERROR(INDEX(Actuals!$G$7:$G$56,MATCH($A10,Actuals!$A$7:$A$56,0)),"")+IFERROR(INDEX(Actuals!$H$7:$H$56,MATCH($A10,Actuals!$A$7:$A$56,0)),""),"")</f>
        <v/>
      </c>
      <c r="AP10" s="14" t="str">
        <f>IF(COUNTIFS(Cases!$A$7:$A$56,$A10,Cases!$G$7:$G$56,"&lt;&gt;")=1,IFERROR(INDEX(Cases!$G$7:$G$56,MATCH($A10,Cases!$A$7:$A$56,0)),""),"")</f>
        <v>Replace</v>
      </c>
    </row>
    <row r="11" spans="1:42" ht="43.9" customHeight="1">
      <c r="A11" s="14" t="s">
        <v>85</v>
      </c>
      <c r="B11" s="14" t="str">
        <f>IF(COUNTIFS(Cases!$A$7:$A$56,$A11,Cases!$B$7:$B$56,"&lt;&gt;")=1,IFERROR(INDEX(Cases!$B$7:$B$56,MATCH($A11,Cases!$A$7:$A$56,0)),""),"")</f>
        <v>Example</v>
      </c>
      <c r="C11" s="14" t="str">
        <f>IF(COUNTIFS(Cases!$A$7:$A$56,$A11,Cases!$C$7:$C$56,"&lt;&gt;")=1,IFERROR(INDEX(Cases!$C$7:$C$56,MATCH($A11,Cases!$A$7:$A$56,0)),""),"")</f>
        <v>Supplier security questionnaires</v>
      </c>
      <c r="D11" s="14">
        <f>IF(AND(AG11=1,OR(B11="Example",B11="Live"),OR(AP11="Simplify",AP11="Replace",AP11="Reduce scope",AP11="Retire",AP11="Retain"),COUNTIFS(Cases!$A$7:$A$56,$A11,Cases!$C$7:$C$56,"&lt;&gt;")=1,COUNTIFS(Cases!$A$7:$A$56,$A11,Cases!$D$7:$D$56,"&lt;&gt;")=1,COUNTIFS(Cases!$A$7:$A$56,$A11,Cases!$E$7:$E$56,"&lt;&gt;")=1,COUNTIFS(Cases!$A$7:$A$56,$A11,Cases!$F$7:$F$56,"&lt;&gt;")=1,COUNTIFS(Cases!$A$7:$A$56,$A11,Cases!$H$7:$H$56,"&lt;&gt;")=1,COUNTIFS(Cases!$A$7:$A$56,$A11,Cases!$I$7:$I$56,"&lt;&gt;")=1,LEN(TRIM(IF(COUNTIFS(Cases!$A$7:$A$56,$A11,Cases!$C$7:$C$56,"&lt;&gt;")=1,IFERROR(INDEX(Cases!$C$7:$C$56,MATCH($A11,Cases!$A$7:$A$56,0)),""),"")))&gt;0,LEN(TRIM(IF(COUNTIFS(Cases!$A$7:$A$56,$A11,Cases!$D$7:$D$56,"&lt;&gt;")=1,IFERROR(INDEX(Cases!$D$7:$D$56,MATCH($A11,Cases!$A$7:$A$56,0)),""),"")))&gt;0,LEN(TRIM(IF(COUNTIFS(Cases!$A$7:$A$56,$A11,Cases!$E$7:$E$56,"&lt;&gt;")=1,IFERROR(INDEX(Cases!$E$7:$E$56,MATCH($A11,Cases!$A$7:$A$56,0)),""),"")))&gt;0,LEN(TRIM(IF(COUNTIFS(Cases!$A$7:$A$56,$A11,Cases!$F$7:$F$56,"&lt;&gt;")=1,IFERROR(INDEX(Cases!$F$7:$F$56,MATCH($A11,Cases!$A$7:$A$56,0)),""),"")))&gt;0,LEN(TRIM(IF(COUNTIFS(Cases!$A$7:$A$56,$A11,Cases!$H$7:$H$56,"&lt;&gt;")=1,IFERROR(INDEX(Cases!$H$7:$H$56,MATCH($A11,Cases!$A$7:$A$56,0)),""),"")))&gt;0,LEN(TRIM(IF(COUNTIFS(Cases!$A$7:$A$56,$A11,Cases!$I$7:$I$56,"&lt;&gt;")=1,IFERROR(INDEX(Cases!$I$7:$I$56,MATCH($A11,Cases!$A$7:$A$56,0)),""),"")))&gt;0),1,0)</f>
        <v>1</v>
      </c>
      <c r="E11" s="14">
        <f>IF(AND(AG11=1,IFERROR(INDEX(Current!$G$7:$G$56,MATCH($A11,Current!$A$7:$A$56,0)),"")="Ready"),1,0)</f>
        <v>1</v>
      </c>
      <c r="F11" s="14">
        <f>IF(AND(AG11=1,IFERROR(INDEX(Proposed!$H$7:$H$56,MATCH($A11,Proposed!$A$7:$A$56,0)),"")="Ready",OR(AP11&lt;&gt;"Retain",AND(IFERROR(INDEX(Current!$B$7:$B$56,MATCH($A11,Current!$A$7:$A$56,0)),"")=IFERROR(INDEX(Proposed!$B$7:$B$56,MATCH($A11,Proposed!$A$7:$A$56,0)),""),IFERROR(INDEX(Current!$C$7:$C$56,MATCH($A11,Current!$A$7:$A$56,0)),"")=IFERROR(INDEX(Proposed!$C$7:$C$56,MATCH($A11,Proposed!$A$7:$A$56,0)),""),IFERROR(INDEX(Current!$D$7:$D$56,MATCH($A11,Current!$A$7:$A$56,0)),"")=IFERROR(INDEX(Proposed!$D$7:$D$56,MATCH($A11,Proposed!$A$7:$A$56,0)),""),IFERROR(INDEX(Current!$E$7:$E$56,MATCH($A11,Current!$A$7:$A$56,0)),"")=IFERROR(INDEX(Proposed!$E$7:$E$56,MATCH($A11,Proposed!$A$7:$A$56,0)),"")))),1,0)</f>
        <v>1</v>
      </c>
      <c r="G11" s="14" t="str">
        <f>IF(COUNTIFS('Challenge Review'!$A$7:$A$56,$A11,'Challenge Review'!$K$7:$K$56,"&lt;&gt;")=1,IFERROR(INDEX('Challenge Review'!$K$7:$K$56,MATCH($A11,'Challenge Review'!$A$7:$A$56,0)),""),"")</f>
        <v>Unchecked</v>
      </c>
      <c r="H11" s="14">
        <f>IF(AND(AG11=1,IFERROR(INDEX('Review &amp; Decision'!$B$7:$B$56,MATCH($A11,'Review &amp; Decision'!$A$7:$A$56,0)),"")="Evidence-backed",OR(IFERROR(INDEX('Review &amp; Decision'!$C$7:$C$56,MATCH($A11,'Review &amp; Decision'!$A$7:$A$56,0)),"")="Equivalent or better",AND(IFERROR(INDEX('Review &amp; Decision'!$C$7:$C$56,MATCH($A11,'Review &amp; Decision'!$A$7:$A$56,0)),"")="Accepted reduction",COUNTIFS('Review &amp; Decision'!$A$7:$A$56,$A11,'Review &amp; Decision'!$L$7:$L$56,"&lt;&gt;")=1)),COUNTIFS('Review &amp; Decision'!$A$7:$A$56,$A11,'Review &amp; Decision'!$D$7:$D$56,"&lt;&gt;")=1,COUNTIFS('Review &amp; Decision'!$A$7:$A$56,$A11,'Review &amp; Decision'!$F$7:$F$56,"&lt;&gt;")=1,OR(IFERROR(INDEX('Review &amp; Decision'!$E$7:$E$56,MATCH($A11,'Review &amp; Decision'!$A$7:$A$56,0)),"")="Approved",IFERROR(INDEX('Review &amp; Decision'!$E$7:$E$56,MATCH($A11,'Review &amp; Decision'!$A$7:$A$56,0)),"")="Implemented"),ISNUMBER(IFERROR(INDEX('Review &amp; Decision'!$G$7:$G$56,MATCH($A11,'Review &amp; Decision'!$A$7:$A$56,0)),"")),IFERROR(INDEX('Review &amp; Decision'!$G$7:$G$56,MATCH($A11,'Review &amp; Decision'!$A$7:$A$56,0)),"")&gt;0,IFERROR(INDEX('Review &amp; Decision'!$G$7:$G$56,MATCH($A11,'Review &amp; Decision'!$A$7:$A$56,0)),"")&lt;=Settings!$B$7,ISNUMBER(IFERROR(INDEX('Review &amp; Decision'!$I$7:$I$56,MATCH($A11,'Review &amp; Decision'!$A$7:$A$56,0)),"")),IFERROR(INDEX('Review &amp; Decision'!$I$7:$I$56,MATCH($A11,'Review &amp; Decision'!$A$7:$A$56,0)),"")&gt;0,IFERROR(INDEX('Review &amp; Decision'!$I$7:$I$56,MATCH($A11,'Review &amp; Decision'!$A$7:$A$56,0)),"")&lt;=Settings!$B$7,IFERROR(INDEX('Review &amp; Decision'!$I$7:$I$56,MATCH($A11,'Review &amp; Decision'!$A$7:$A$56,0)),"")&gt;=IFERROR(INDEX('Review &amp; Decision'!$G$7:$G$56,MATCH($A11,'Review &amp; Decision'!$A$7:$A$56,0)),""),COUNTIFS('Review &amp; Decision'!$A$7:$A$56,$A11,'Review &amp; Decision'!$J$7:$J$56,"&lt;&gt;")=1,COUNTIFS('Review &amp; Decision'!$A$7:$A$56,$A11,'Review &amp; Decision'!$K$7:$K$56,"&lt;&gt;")=1,ISNUMBER(IFERROR(INDEX('Review &amp; Decision'!$J$7:$J$56,MATCH($A11,'Review &amp; Decision'!$A$7:$A$56,0)),"")),IFERROR(INDEX('Review &amp; Decision'!$J$7:$J$56,MATCH($A11,'Review &amp; Decision'!$A$7:$A$56,0)),"")&gt;=0,IFERROR(INDEX('Review &amp; Decision'!$J$7:$J$56,MATCH($A11,'Review &amp; Decision'!$A$7:$A$56,0)),"")&lt;=1,ISNUMBER(IFERROR(INDEX('Review &amp; Decision'!$K$7:$K$56,MATCH($A11,'Review &amp; Decision'!$A$7:$A$56,0)),"")),IFERROR(INDEX('Review &amp; Decision'!$K$7:$K$56,MATCH($A11,'Review &amp; Decision'!$A$7:$A$56,0)),"")&gt;=0,IFERROR(INDEX('Review &amp; Decision'!$K$7:$K$56,MATCH($A11,'Review &amp; Decision'!$A$7:$A$56,0)),"")&lt;=1,ISNUMBER(Settings!$B$7),Settings!$B$7&gt;0,OR(Settings!$B$8="Approved + measured",Settings!$B$8="Measured only"),LEN(TRIM(IF(COUNTIFS('Review &amp; Decision'!$A$7:$A$56,$A11,'Review &amp; Decision'!$D$7:$D$56,"&lt;&gt;")=1,IFERROR(INDEX('Review &amp; Decision'!$D$7:$D$56,MATCH($A11,'Review &amp; Decision'!$A$7:$A$56,0)),""),"")))&gt;0,LEN(TRIM(IF(COUNTIFS('Review &amp; Decision'!$A$7:$A$56,$A11,'Review &amp; Decision'!$F$7:$F$56,"&lt;&gt;")=1,IFERROR(INDEX('Review &amp; Decision'!$F$7:$F$56,MATCH($A11,'Review &amp; Decision'!$A$7:$A$56,0)),""),"")))&gt;0,OR(IFERROR(INDEX('Review &amp; Decision'!$C$7:$C$56,MATCH($A11,'Review &amp; Decision'!$A$7:$A$56,0)),"")&lt;&gt;"Accepted reduction",LEN(TRIM(IF(COUNTIFS('Review &amp; Decision'!$A$7:$A$56,$A11,'Review &amp; Decision'!$L$7:$L$56,"&lt;&gt;")=1,IFERROR(INDEX('Review &amp; Decision'!$L$7:$L$56,MATCH($A11,'Review &amp; Decision'!$A$7:$A$56,0)),""),"")))&gt;0)),1,0)</f>
        <v>0</v>
      </c>
      <c r="I11" s="14">
        <f>IF(AND(AG11=1,IFERROR(INDEX(Actuals!$M$7:$M$56,MATCH($A11,Actuals!$A$7:$A$56,0)),"")="Ready",IFERROR(INDEX(Actuals!$D$7:$D$56,MATCH($A11,Actuals!$A$7:$A$56,0)),"")&gt;=IFERROR(INDEX('Review &amp; Decision'!$I$7:$I$56,MATCH($A11,'Review &amp; Decision'!$A$7:$A$56,0)),"")),1,0)</f>
        <v>0</v>
      </c>
      <c r="J11" s="14" t="str">
        <f t="shared" si="0"/>
        <v>Example only — never in live planning</v>
      </c>
      <c r="K11" s="14">
        <f t="shared" si="1"/>
        <v>0</v>
      </c>
      <c r="L11" s="14">
        <f t="shared" si="2"/>
        <v>0</v>
      </c>
      <c r="M11" s="14">
        <f>IF(OR(L11=1,AND(K11=1,Settings!$B$8="Approved + measured")),1,0)</f>
        <v>0</v>
      </c>
      <c r="N11" s="14">
        <f>IF(E11=1,IFERROR(INDEX(Current!$H$7:$H$56,MATCH($A11,Current!$A$7:$A$56,0)),""),"")</f>
        <v>0</v>
      </c>
      <c r="O11" s="14">
        <f>IF(F11=1,IFERROR(INDEX(Proposed!$I$7:$I$56,MATCH($A11,Proposed!$A$7:$A$56,0)),""),"")</f>
        <v>0</v>
      </c>
      <c r="P11" s="14">
        <f t="shared" si="3"/>
        <v>0</v>
      </c>
      <c r="Q11" s="14">
        <f>IF(E11=1,IFERROR(INDEX(Current!$I$7:$I$56,MATCH($A11,Current!$A$7:$A$56,0)),""),"")</f>
        <v>800</v>
      </c>
      <c r="R11" s="14">
        <f>IF(F11=1,IFERROR(INDEX(Proposed!$J$7:$J$56,MATCH($A11,Proposed!$A$7:$A$56,0)),""),"")</f>
        <v>170</v>
      </c>
      <c r="S11" s="14">
        <f t="shared" si="4"/>
        <v>630</v>
      </c>
      <c r="T11" s="14">
        <f>IF(E11=1,IFERROR(INDEX(Current!$E$7:$E$56,MATCH($A11,Current!$A$7:$A$56,0)),""),"")</f>
        <v>0</v>
      </c>
      <c r="U11" s="14">
        <f>IF(F11=1,IFERROR(INDEX(Proposed!$E$7:$E$56,MATCH($A11,Proposed!$A$7:$A$56,0)),""),"")</f>
        <v>10000</v>
      </c>
      <c r="V11" s="14">
        <f t="shared" si="5"/>
        <v>-10000</v>
      </c>
      <c r="W11" s="14">
        <f>IF(E11=1,IFERROR(INDEX(Current!$K$7:$K$56,MATCH($A11,Current!$A$7:$A$56,0)),""),"")</f>
        <v>60000</v>
      </c>
      <c r="X11" s="14">
        <f>IF(F11=1,IFERROR(INDEX(Proposed!$L$7:$L$56,MATCH($A11,Proposed!$A$7:$A$56,0)),""),"")</f>
        <v>22750</v>
      </c>
      <c r="Y11" s="14">
        <f t="shared" si="6"/>
        <v>37250</v>
      </c>
      <c r="Z11" s="14">
        <f>IF(F11=1,IFERROR(INDEX(Proposed!$F$7:$F$56,MATCH($A11,Proposed!$A$7:$A$56,0)),""),"")</f>
        <v>8000</v>
      </c>
      <c r="AA11" s="14">
        <f>IF(M11=1,IF(IF(L11=1,AL11,P11)&gt;0,IF(L11=1,AL11,P11)*IFERROR(INDEX('Review &amp; Decision'!$J$7:$J$56,MATCH($A11,'Review &amp; Decision'!$A$7:$A$56,0)),""),IF(L11=1,AL11,P11)),0)</f>
        <v>0</v>
      </c>
      <c r="AB11" s="14">
        <f>IF(M11=1,IF(IF(L11=1,AM11,S11)&gt;0,IF(L11=1,AM11,S11)*IFERROR(INDEX('Review &amp; Decision'!$K$7:$K$56,MATCH($A11,'Review &amp; Decision'!$A$7:$A$56,0)),""),IF(L11=1,AM11,S11)),0)</f>
        <v>0</v>
      </c>
      <c r="AC11" s="14">
        <f t="shared" si="7"/>
        <v>0</v>
      </c>
      <c r="AD11" s="14">
        <f t="shared" si="8"/>
        <v>0</v>
      </c>
      <c r="AE11" s="14">
        <f t="shared" si="9"/>
        <v>0</v>
      </c>
      <c r="AF11" s="14" t="str">
        <f t="shared" si="10"/>
        <v>No measurement warning</v>
      </c>
      <c r="AG11" s="14">
        <f>IF(AND(COUNTIF(Cases!$A$7:$A$56,$A11)=1,COUNTIF(Current!$A$7:$A$56,$A11)=1,COUNTIF(Proposed!$A$7:$A$56,$A11)=1,COUNTIF('Review &amp; Decision'!$A$7:$A$56,$A11)=1,COUNTIF('Challenge Review'!$A$7:$A$56,$A11)=1,COUNTIF(Actuals!$A$7:$A$56,$A11)=1,COUNTIF(Classification!$A$7:$A$56,$A11)=1),1,0)</f>
        <v>1</v>
      </c>
      <c r="AH11" s="14">
        <f t="shared" si="11"/>
        <v>1</v>
      </c>
      <c r="AI11" s="14" t="str">
        <f>IF(COUNTIFS('Review &amp; Decision'!$A$7:$A$56,$A11,'Review &amp; Decision'!$H$7:$H$56,"&lt;&gt;")=1,IFERROR(INDEX('Review &amp; Decision'!$H$7:$H$56,MATCH($A11,'Review &amp; Decision'!$A$7:$A$56,0)),""),"")</f>
        <v>Modeled</v>
      </c>
      <c r="AJ11" s="14" t="str">
        <f>IF(COUNTIFS('Review &amp; Decision'!$A$7:$A$56,$A11,'Review &amp; Decision'!$E$7:$E$56,"&lt;&gt;")=1,IFERROR(INDEX('Review &amp; Decision'!$E$7:$E$56,MATCH($A11,'Review &amp; Decision'!$A$7:$A$56,0)),""),"")</f>
        <v>Open</v>
      </c>
      <c r="AK11" s="14" t="str">
        <f>IF(COUNTIFS('Review &amp; Decision'!$A$7:$A$56,$A11,'Review &amp; Decision'!$B$7:$B$56,"&lt;&gt;")=1,IFERROR(INDEX('Review &amp; Decision'!$B$7:$B$56,MATCH($A11,'Review &amp; Decision'!$A$7:$A$56,0)),""),"")</f>
        <v>Hypothesis</v>
      </c>
      <c r="AL11" s="14" t="str">
        <f>IF(I11=1,IFERROR(INDEX(Actuals!$E$7:$E$56,MATCH($A11,Actuals!$A$7:$A$56,0)),""),"")</f>
        <v/>
      </c>
      <c r="AM11" s="14" t="str">
        <f>IF(I11=1,IFERROR(INDEX(Actuals!$F$7:$F$56,MATCH($A11,Actuals!$A$7:$A$56,0)),""),"")</f>
        <v/>
      </c>
      <c r="AN11" s="14" t="str">
        <f>IF(I11=1,IFERROR(INDEX(Actuals!$G$7:$G$56,MATCH($A11,Actuals!$A$7:$A$56,0)),""),"")</f>
        <v/>
      </c>
      <c r="AO11" s="14" t="str">
        <f>IF(I11=1,IFERROR(INDEX(Actuals!$G$7:$G$56,MATCH($A11,Actuals!$A$7:$A$56,0)),"")+IFERROR(INDEX(Actuals!$H$7:$H$56,MATCH($A11,Actuals!$A$7:$A$56,0)),""),"")</f>
        <v/>
      </c>
      <c r="AP11" s="14" t="str">
        <f>IF(COUNTIFS(Cases!$A$7:$A$56,$A11,Cases!$G$7:$G$56,"&lt;&gt;")=1,IFERROR(INDEX(Cases!$G$7:$G$56,MATCH($A11,Cases!$A$7:$A$56,0)),""),"")</f>
        <v>Replace</v>
      </c>
    </row>
    <row r="12" spans="1:42" ht="43.9" customHeight="1">
      <c r="A12" s="14" t="s">
        <v>88</v>
      </c>
      <c r="B12" s="14" t="str">
        <f>IF(COUNTIFS(Cases!$A$7:$A$56,$A12,Cases!$B$7:$B$56,"&lt;&gt;")=1,IFERROR(INDEX(Cases!$B$7:$B$56,MATCH($A12,Cases!$A$7:$A$56,0)),""),"")</f>
        <v>Example</v>
      </c>
      <c r="C12" s="14" t="str">
        <f>IF(COUNTIFS(Cases!$A$7:$A$56,$A12,Cases!$C$7:$C$56,"&lt;&gt;")=1,IFERROR(INDEX(Cases!$C$7:$C$56,MATCH($A12,Cases!$A$7:$A$56,0)),""),"")</f>
        <v>Vulnerability remediation prioritization</v>
      </c>
      <c r="D12" s="14">
        <f>IF(AND(AG12=1,OR(B12="Example",B12="Live"),OR(AP12="Simplify",AP12="Replace",AP12="Reduce scope",AP12="Retire",AP12="Retain"),COUNTIFS(Cases!$A$7:$A$56,$A12,Cases!$C$7:$C$56,"&lt;&gt;")=1,COUNTIFS(Cases!$A$7:$A$56,$A12,Cases!$D$7:$D$56,"&lt;&gt;")=1,COUNTIFS(Cases!$A$7:$A$56,$A12,Cases!$E$7:$E$56,"&lt;&gt;")=1,COUNTIFS(Cases!$A$7:$A$56,$A12,Cases!$F$7:$F$56,"&lt;&gt;")=1,COUNTIFS(Cases!$A$7:$A$56,$A12,Cases!$H$7:$H$56,"&lt;&gt;")=1,COUNTIFS(Cases!$A$7:$A$56,$A12,Cases!$I$7:$I$56,"&lt;&gt;")=1,LEN(TRIM(IF(COUNTIFS(Cases!$A$7:$A$56,$A12,Cases!$C$7:$C$56,"&lt;&gt;")=1,IFERROR(INDEX(Cases!$C$7:$C$56,MATCH($A12,Cases!$A$7:$A$56,0)),""),"")))&gt;0,LEN(TRIM(IF(COUNTIFS(Cases!$A$7:$A$56,$A12,Cases!$D$7:$D$56,"&lt;&gt;")=1,IFERROR(INDEX(Cases!$D$7:$D$56,MATCH($A12,Cases!$A$7:$A$56,0)),""),"")))&gt;0,LEN(TRIM(IF(COUNTIFS(Cases!$A$7:$A$56,$A12,Cases!$E$7:$E$56,"&lt;&gt;")=1,IFERROR(INDEX(Cases!$E$7:$E$56,MATCH($A12,Cases!$A$7:$A$56,0)),""),"")))&gt;0,LEN(TRIM(IF(COUNTIFS(Cases!$A$7:$A$56,$A12,Cases!$F$7:$F$56,"&lt;&gt;")=1,IFERROR(INDEX(Cases!$F$7:$F$56,MATCH($A12,Cases!$A$7:$A$56,0)),""),"")))&gt;0,LEN(TRIM(IF(COUNTIFS(Cases!$A$7:$A$56,$A12,Cases!$H$7:$H$56,"&lt;&gt;")=1,IFERROR(INDEX(Cases!$H$7:$H$56,MATCH($A12,Cases!$A$7:$A$56,0)),""),"")))&gt;0,LEN(TRIM(IF(COUNTIFS(Cases!$A$7:$A$56,$A12,Cases!$I$7:$I$56,"&lt;&gt;")=1,IFERROR(INDEX(Cases!$I$7:$I$56,MATCH($A12,Cases!$A$7:$A$56,0)),""),"")))&gt;0),1,0)</f>
        <v>1</v>
      </c>
      <c r="E12" s="14">
        <f>IF(AND(AG12=1,IFERROR(INDEX(Current!$G$7:$G$56,MATCH($A12,Current!$A$7:$A$56,0)),"")="Ready"),1,0)</f>
        <v>1</v>
      </c>
      <c r="F12" s="14">
        <f>IF(AND(AG12=1,IFERROR(INDEX(Proposed!$H$7:$H$56,MATCH($A12,Proposed!$A$7:$A$56,0)),"")="Ready",OR(AP12&lt;&gt;"Retain",AND(IFERROR(INDEX(Current!$B$7:$B$56,MATCH($A12,Current!$A$7:$A$56,0)),"")=IFERROR(INDEX(Proposed!$B$7:$B$56,MATCH($A12,Proposed!$A$7:$A$56,0)),""),IFERROR(INDEX(Current!$C$7:$C$56,MATCH($A12,Current!$A$7:$A$56,0)),"")=IFERROR(INDEX(Proposed!$C$7:$C$56,MATCH($A12,Proposed!$A$7:$A$56,0)),""),IFERROR(INDEX(Current!$D$7:$D$56,MATCH($A12,Current!$A$7:$A$56,0)),"")=IFERROR(INDEX(Proposed!$D$7:$D$56,MATCH($A12,Proposed!$A$7:$A$56,0)),""),IFERROR(INDEX(Current!$E$7:$E$56,MATCH($A12,Current!$A$7:$A$56,0)),"")=IFERROR(INDEX(Proposed!$E$7:$E$56,MATCH($A12,Proposed!$A$7:$A$56,0)),"")))),1,0)</f>
        <v>1</v>
      </c>
      <c r="G12" s="14" t="str">
        <f>IF(COUNTIFS('Challenge Review'!$A$7:$A$56,$A12,'Challenge Review'!$K$7:$K$56,"&lt;&gt;")=1,IFERROR(INDEX('Challenge Review'!$K$7:$K$56,MATCH($A12,'Challenge Review'!$A$7:$A$56,0)),""),"")</f>
        <v>Unchecked</v>
      </c>
      <c r="H12" s="14">
        <f>IF(AND(AG12=1,IFERROR(INDEX('Review &amp; Decision'!$B$7:$B$56,MATCH($A12,'Review &amp; Decision'!$A$7:$A$56,0)),"")="Evidence-backed",OR(IFERROR(INDEX('Review &amp; Decision'!$C$7:$C$56,MATCH($A12,'Review &amp; Decision'!$A$7:$A$56,0)),"")="Equivalent or better",AND(IFERROR(INDEX('Review &amp; Decision'!$C$7:$C$56,MATCH($A12,'Review &amp; Decision'!$A$7:$A$56,0)),"")="Accepted reduction",COUNTIFS('Review &amp; Decision'!$A$7:$A$56,$A12,'Review &amp; Decision'!$L$7:$L$56,"&lt;&gt;")=1)),COUNTIFS('Review &amp; Decision'!$A$7:$A$56,$A12,'Review &amp; Decision'!$D$7:$D$56,"&lt;&gt;")=1,COUNTIFS('Review &amp; Decision'!$A$7:$A$56,$A12,'Review &amp; Decision'!$F$7:$F$56,"&lt;&gt;")=1,OR(IFERROR(INDEX('Review &amp; Decision'!$E$7:$E$56,MATCH($A12,'Review &amp; Decision'!$A$7:$A$56,0)),"")="Approved",IFERROR(INDEX('Review &amp; Decision'!$E$7:$E$56,MATCH($A12,'Review &amp; Decision'!$A$7:$A$56,0)),"")="Implemented"),ISNUMBER(IFERROR(INDEX('Review &amp; Decision'!$G$7:$G$56,MATCH($A12,'Review &amp; Decision'!$A$7:$A$56,0)),"")),IFERROR(INDEX('Review &amp; Decision'!$G$7:$G$56,MATCH($A12,'Review &amp; Decision'!$A$7:$A$56,0)),"")&gt;0,IFERROR(INDEX('Review &amp; Decision'!$G$7:$G$56,MATCH($A12,'Review &amp; Decision'!$A$7:$A$56,0)),"")&lt;=Settings!$B$7,ISNUMBER(IFERROR(INDEX('Review &amp; Decision'!$I$7:$I$56,MATCH($A12,'Review &amp; Decision'!$A$7:$A$56,0)),"")),IFERROR(INDEX('Review &amp; Decision'!$I$7:$I$56,MATCH($A12,'Review &amp; Decision'!$A$7:$A$56,0)),"")&gt;0,IFERROR(INDEX('Review &amp; Decision'!$I$7:$I$56,MATCH($A12,'Review &amp; Decision'!$A$7:$A$56,0)),"")&lt;=Settings!$B$7,IFERROR(INDEX('Review &amp; Decision'!$I$7:$I$56,MATCH($A12,'Review &amp; Decision'!$A$7:$A$56,0)),"")&gt;=IFERROR(INDEX('Review &amp; Decision'!$G$7:$G$56,MATCH($A12,'Review &amp; Decision'!$A$7:$A$56,0)),""),COUNTIFS('Review &amp; Decision'!$A$7:$A$56,$A12,'Review &amp; Decision'!$J$7:$J$56,"&lt;&gt;")=1,COUNTIFS('Review &amp; Decision'!$A$7:$A$56,$A12,'Review &amp; Decision'!$K$7:$K$56,"&lt;&gt;")=1,ISNUMBER(IFERROR(INDEX('Review &amp; Decision'!$J$7:$J$56,MATCH($A12,'Review &amp; Decision'!$A$7:$A$56,0)),"")),IFERROR(INDEX('Review &amp; Decision'!$J$7:$J$56,MATCH($A12,'Review &amp; Decision'!$A$7:$A$56,0)),"")&gt;=0,IFERROR(INDEX('Review &amp; Decision'!$J$7:$J$56,MATCH($A12,'Review &amp; Decision'!$A$7:$A$56,0)),"")&lt;=1,ISNUMBER(IFERROR(INDEX('Review &amp; Decision'!$K$7:$K$56,MATCH($A12,'Review &amp; Decision'!$A$7:$A$56,0)),"")),IFERROR(INDEX('Review &amp; Decision'!$K$7:$K$56,MATCH($A12,'Review &amp; Decision'!$A$7:$A$56,0)),"")&gt;=0,IFERROR(INDEX('Review &amp; Decision'!$K$7:$K$56,MATCH($A12,'Review &amp; Decision'!$A$7:$A$56,0)),"")&lt;=1,ISNUMBER(Settings!$B$7),Settings!$B$7&gt;0,OR(Settings!$B$8="Approved + measured",Settings!$B$8="Measured only"),LEN(TRIM(IF(COUNTIFS('Review &amp; Decision'!$A$7:$A$56,$A12,'Review &amp; Decision'!$D$7:$D$56,"&lt;&gt;")=1,IFERROR(INDEX('Review &amp; Decision'!$D$7:$D$56,MATCH($A12,'Review &amp; Decision'!$A$7:$A$56,0)),""),"")))&gt;0,LEN(TRIM(IF(COUNTIFS('Review &amp; Decision'!$A$7:$A$56,$A12,'Review &amp; Decision'!$F$7:$F$56,"&lt;&gt;")=1,IFERROR(INDEX('Review &amp; Decision'!$F$7:$F$56,MATCH($A12,'Review &amp; Decision'!$A$7:$A$56,0)),""),"")))&gt;0,OR(IFERROR(INDEX('Review &amp; Decision'!$C$7:$C$56,MATCH($A12,'Review &amp; Decision'!$A$7:$A$56,0)),"")&lt;&gt;"Accepted reduction",LEN(TRIM(IF(COUNTIFS('Review &amp; Decision'!$A$7:$A$56,$A12,'Review &amp; Decision'!$L$7:$L$56,"&lt;&gt;")=1,IFERROR(INDEX('Review &amp; Decision'!$L$7:$L$56,MATCH($A12,'Review &amp; Decision'!$A$7:$A$56,0)),""),"")))&gt;0)),1,0)</f>
        <v>0</v>
      </c>
      <c r="I12" s="14">
        <f>IF(AND(AG12=1,IFERROR(INDEX(Actuals!$M$7:$M$56,MATCH($A12,Actuals!$A$7:$A$56,0)),"")="Ready",IFERROR(INDEX(Actuals!$D$7:$D$56,MATCH($A12,Actuals!$A$7:$A$56,0)),"")&gt;=IFERROR(INDEX('Review &amp; Decision'!$I$7:$I$56,MATCH($A12,'Review &amp; Decision'!$A$7:$A$56,0)),"")),1,0)</f>
        <v>0</v>
      </c>
      <c r="J12" s="14" t="str">
        <f t="shared" si="0"/>
        <v>Example only — never in live planning</v>
      </c>
      <c r="K12" s="14">
        <f t="shared" si="1"/>
        <v>0</v>
      </c>
      <c r="L12" s="14">
        <f t="shared" si="2"/>
        <v>0</v>
      </c>
      <c r="M12" s="14">
        <f>IF(OR(L12=1,AND(K12=1,Settings!$B$8="Approved + measured")),1,0)</f>
        <v>0</v>
      </c>
      <c r="N12" s="14">
        <f>IF(E12=1,IFERROR(INDEX(Current!$H$7:$H$56,MATCH($A12,Current!$A$7:$A$56,0)),""),"")</f>
        <v>0</v>
      </c>
      <c r="O12" s="14">
        <f>IF(F12=1,IFERROR(INDEX(Proposed!$I$7:$I$56,MATCH($A12,Proposed!$A$7:$A$56,0)),""),"")</f>
        <v>0</v>
      </c>
      <c r="P12" s="14">
        <f t="shared" si="3"/>
        <v>0</v>
      </c>
      <c r="Q12" s="14">
        <f>IF(E12=1,IFERROR(INDEX(Current!$I$7:$I$56,MATCH($A12,Current!$A$7:$A$56,0)),""),"")</f>
        <v>1400</v>
      </c>
      <c r="R12" s="14">
        <f>IF(F12=1,IFERROR(INDEX(Proposed!$J$7:$J$56,MATCH($A12,Proposed!$A$7:$A$56,0)),""),"")</f>
        <v>1100</v>
      </c>
      <c r="S12" s="14">
        <f t="shared" si="4"/>
        <v>300</v>
      </c>
      <c r="T12" s="14">
        <f>IF(E12=1,IFERROR(INDEX(Current!$E$7:$E$56,MATCH($A12,Current!$A$7:$A$56,0)),""),"")</f>
        <v>0</v>
      </c>
      <c r="U12" s="14">
        <f>IF(F12=1,IFERROR(INDEX(Proposed!$E$7:$E$56,MATCH($A12,Proposed!$A$7:$A$56,0)),""),"")</f>
        <v>0</v>
      </c>
      <c r="V12" s="14">
        <f t="shared" si="5"/>
        <v>0</v>
      </c>
      <c r="W12" s="14">
        <f>IF(E12=1,IFERROR(INDEX(Current!$K$7:$K$56,MATCH($A12,Current!$A$7:$A$56,0)),""),"")</f>
        <v>105000</v>
      </c>
      <c r="X12" s="14">
        <f>IF(F12=1,IFERROR(INDEX(Proposed!$L$7:$L$56,MATCH($A12,Proposed!$A$7:$A$56,0)),""),"")</f>
        <v>82500</v>
      </c>
      <c r="Y12" s="14">
        <f t="shared" si="6"/>
        <v>22500</v>
      </c>
      <c r="Z12" s="14">
        <f>IF(F12=1,IFERROR(INDEX(Proposed!$F$7:$F$56,MATCH($A12,Proposed!$A$7:$A$56,0)),""),"")</f>
        <v>5000</v>
      </c>
      <c r="AA12" s="14">
        <f>IF(M12=1,IF(IF(L12=1,AL12,P12)&gt;0,IF(L12=1,AL12,P12)*IFERROR(INDEX('Review &amp; Decision'!$J$7:$J$56,MATCH($A12,'Review &amp; Decision'!$A$7:$A$56,0)),""),IF(L12=1,AL12,P12)),0)</f>
        <v>0</v>
      </c>
      <c r="AB12" s="14">
        <f>IF(M12=1,IF(IF(L12=1,AM12,S12)&gt;0,IF(L12=1,AM12,S12)*IFERROR(INDEX('Review &amp; Decision'!$K$7:$K$56,MATCH($A12,'Review &amp; Decision'!$A$7:$A$56,0)),""),IF(L12=1,AM12,S12)),0)</f>
        <v>0</v>
      </c>
      <c r="AC12" s="14">
        <f t="shared" si="7"/>
        <v>0</v>
      </c>
      <c r="AD12" s="14">
        <f t="shared" si="8"/>
        <v>0</v>
      </c>
      <c r="AE12" s="14">
        <f t="shared" si="9"/>
        <v>0</v>
      </c>
      <c r="AF12" s="14" t="str">
        <f t="shared" si="10"/>
        <v>No measurement warning</v>
      </c>
      <c r="AG12" s="14">
        <f>IF(AND(COUNTIF(Cases!$A$7:$A$56,$A12)=1,COUNTIF(Current!$A$7:$A$56,$A12)=1,COUNTIF(Proposed!$A$7:$A$56,$A12)=1,COUNTIF('Review &amp; Decision'!$A$7:$A$56,$A12)=1,COUNTIF('Challenge Review'!$A$7:$A$56,$A12)=1,COUNTIF(Actuals!$A$7:$A$56,$A12)=1,COUNTIF(Classification!$A$7:$A$56,$A12)=1),1,0)</f>
        <v>1</v>
      </c>
      <c r="AH12" s="14">
        <f t="shared" si="11"/>
        <v>1</v>
      </c>
      <c r="AI12" s="14" t="str">
        <f>IF(COUNTIFS('Review &amp; Decision'!$A$7:$A$56,$A12,'Review &amp; Decision'!$H$7:$H$56,"&lt;&gt;")=1,IFERROR(INDEX('Review &amp; Decision'!$H$7:$H$56,MATCH($A12,'Review &amp; Decision'!$A$7:$A$56,0)),""),"")</f>
        <v>Modeled</v>
      </c>
      <c r="AJ12" s="14" t="str">
        <f>IF(COUNTIFS('Review &amp; Decision'!$A$7:$A$56,$A12,'Review &amp; Decision'!$E$7:$E$56,"&lt;&gt;")=1,IFERROR(INDEX('Review &amp; Decision'!$E$7:$E$56,MATCH($A12,'Review &amp; Decision'!$A$7:$A$56,0)),""),"")</f>
        <v>Open</v>
      </c>
      <c r="AK12" s="14" t="str">
        <f>IF(COUNTIFS('Review &amp; Decision'!$A$7:$A$56,$A12,'Review &amp; Decision'!$B$7:$B$56,"&lt;&gt;")=1,IFERROR(INDEX('Review &amp; Decision'!$B$7:$B$56,MATCH($A12,'Review &amp; Decision'!$A$7:$A$56,0)),""),"")</f>
        <v>Hypothesis</v>
      </c>
      <c r="AL12" s="14" t="str">
        <f>IF(I12=1,IFERROR(INDEX(Actuals!$E$7:$E$56,MATCH($A12,Actuals!$A$7:$A$56,0)),""),"")</f>
        <v/>
      </c>
      <c r="AM12" s="14" t="str">
        <f>IF(I12=1,IFERROR(INDEX(Actuals!$F$7:$F$56,MATCH($A12,Actuals!$A$7:$A$56,0)),""),"")</f>
        <v/>
      </c>
      <c r="AN12" s="14" t="str">
        <f>IF(I12=1,IFERROR(INDEX(Actuals!$G$7:$G$56,MATCH($A12,Actuals!$A$7:$A$56,0)),""),"")</f>
        <v/>
      </c>
      <c r="AO12" s="14" t="str">
        <f>IF(I12=1,IFERROR(INDEX(Actuals!$G$7:$G$56,MATCH($A12,Actuals!$A$7:$A$56,0)),"")+IFERROR(INDEX(Actuals!$H$7:$H$56,MATCH($A12,Actuals!$A$7:$A$56,0)),""),"")</f>
        <v/>
      </c>
      <c r="AP12" s="14" t="str">
        <f>IF(COUNTIFS(Cases!$A$7:$A$56,$A12,Cases!$G$7:$G$56,"&lt;&gt;")=1,IFERROR(INDEX(Cases!$G$7:$G$56,MATCH($A12,Cases!$A$7:$A$56,0)),""),"")</f>
        <v>Simplify</v>
      </c>
    </row>
    <row r="13" spans="1:42" ht="43.9" customHeight="1">
      <c r="A13" s="14" t="s">
        <v>91</v>
      </c>
      <c r="B13" s="14" t="str">
        <f>IF(COUNTIFS(Cases!$A$7:$A$56,$A13,Cases!$B$7:$B$56,"&lt;&gt;")=1,IFERROR(INDEX(Cases!$B$7:$B$56,MATCH($A13,Cases!$A$7:$A$56,0)),""),"")</f>
        <v>Example</v>
      </c>
      <c r="C13" s="14" t="str">
        <f>IF(COUNTIFS(Cases!$A$7:$A$56,$A13,Cases!$C$7:$C$56,"&lt;&gt;")=1,IFERROR(INDEX(Cases!$C$7:$C$56,MATCH($A13,Cases!$A$7:$A$56,0)),""),"")</f>
        <v>Workplace access restrictions</v>
      </c>
      <c r="D13" s="14">
        <f>IF(AND(AG13=1,OR(B13="Example",B13="Live"),OR(AP13="Simplify",AP13="Replace",AP13="Reduce scope",AP13="Retire",AP13="Retain"),COUNTIFS(Cases!$A$7:$A$56,$A13,Cases!$C$7:$C$56,"&lt;&gt;")=1,COUNTIFS(Cases!$A$7:$A$56,$A13,Cases!$D$7:$D$56,"&lt;&gt;")=1,COUNTIFS(Cases!$A$7:$A$56,$A13,Cases!$E$7:$E$56,"&lt;&gt;")=1,COUNTIFS(Cases!$A$7:$A$56,$A13,Cases!$F$7:$F$56,"&lt;&gt;")=1,COUNTIFS(Cases!$A$7:$A$56,$A13,Cases!$H$7:$H$56,"&lt;&gt;")=1,COUNTIFS(Cases!$A$7:$A$56,$A13,Cases!$I$7:$I$56,"&lt;&gt;")=1,LEN(TRIM(IF(COUNTIFS(Cases!$A$7:$A$56,$A13,Cases!$C$7:$C$56,"&lt;&gt;")=1,IFERROR(INDEX(Cases!$C$7:$C$56,MATCH($A13,Cases!$A$7:$A$56,0)),""),"")))&gt;0,LEN(TRIM(IF(COUNTIFS(Cases!$A$7:$A$56,$A13,Cases!$D$7:$D$56,"&lt;&gt;")=1,IFERROR(INDEX(Cases!$D$7:$D$56,MATCH($A13,Cases!$A$7:$A$56,0)),""),"")))&gt;0,LEN(TRIM(IF(COUNTIFS(Cases!$A$7:$A$56,$A13,Cases!$E$7:$E$56,"&lt;&gt;")=1,IFERROR(INDEX(Cases!$E$7:$E$56,MATCH($A13,Cases!$A$7:$A$56,0)),""),"")))&gt;0,LEN(TRIM(IF(COUNTIFS(Cases!$A$7:$A$56,$A13,Cases!$F$7:$F$56,"&lt;&gt;")=1,IFERROR(INDEX(Cases!$F$7:$F$56,MATCH($A13,Cases!$A$7:$A$56,0)),""),"")))&gt;0,LEN(TRIM(IF(COUNTIFS(Cases!$A$7:$A$56,$A13,Cases!$H$7:$H$56,"&lt;&gt;")=1,IFERROR(INDEX(Cases!$H$7:$H$56,MATCH($A13,Cases!$A$7:$A$56,0)),""),"")))&gt;0,LEN(TRIM(IF(COUNTIFS(Cases!$A$7:$A$56,$A13,Cases!$I$7:$I$56,"&lt;&gt;")=1,IFERROR(INDEX(Cases!$I$7:$I$56,MATCH($A13,Cases!$A$7:$A$56,0)),""),"")))&gt;0),1,0)</f>
        <v>1</v>
      </c>
      <c r="E13" s="14">
        <f>IF(AND(AG13=1,IFERROR(INDEX(Current!$G$7:$G$56,MATCH($A13,Current!$A$7:$A$56,0)),"")="Ready"),1,0)</f>
        <v>1</v>
      </c>
      <c r="F13" s="14">
        <f>IF(AND(AG13=1,IFERROR(INDEX(Proposed!$H$7:$H$56,MATCH($A13,Proposed!$A$7:$A$56,0)),"")="Ready",OR(AP13&lt;&gt;"Retain",AND(IFERROR(INDEX(Current!$B$7:$B$56,MATCH($A13,Current!$A$7:$A$56,0)),"")=IFERROR(INDEX(Proposed!$B$7:$B$56,MATCH($A13,Proposed!$A$7:$A$56,0)),""),IFERROR(INDEX(Current!$C$7:$C$56,MATCH($A13,Current!$A$7:$A$56,0)),"")=IFERROR(INDEX(Proposed!$C$7:$C$56,MATCH($A13,Proposed!$A$7:$A$56,0)),""),IFERROR(INDEX(Current!$D$7:$D$56,MATCH($A13,Current!$A$7:$A$56,0)),"")=IFERROR(INDEX(Proposed!$D$7:$D$56,MATCH($A13,Proposed!$A$7:$A$56,0)),""),IFERROR(INDEX(Current!$E$7:$E$56,MATCH($A13,Current!$A$7:$A$56,0)),"")=IFERROR(INDEX(Proposed!$E$7:$E$56,MATCH($A13,Proposed!$A$7:$A$56,0)),"")))),1,0)</f>
        <v>1</v>
      </c>
      <c r="G13" s="14" t="str">
        <f>IF(COUNTIFS('Challenge Review'!$A$7:$A$56,$A13,'Challenge Review'!$K$7:$K$56,"&lt;&gt;")=1,IFERROR(INDEX('Challenge Review'!$K$7:$K$56,MATCH($A13,'Challenge Review'!$A$7:$A$56,0)),""),"")</f>
        <v>Unchecked</v>
      </c>
      <c r="H13" s="14">
        <f>IF(AND(AG13=1,IFERROR(INDEX('Review &amp; Decision'!$B$7:$B$56,MATCH($A13,'Review &amp; Decision'!$A$7:$A$56,0)),"")="Evidence-backed",OR(IFERROR(INDEX('Review &amp; Decision'!$C$7:$C$56,MATCH($A13,'Review &amp; Decision'!$A$7:$A$56,0)),"")="Equivalent or better",AND(IFERROR(INDEX('Review &amp; Decision'!$C$7:$C$56,MATCH($A13,'Review &amp; Decision'!$A$7:$A$56,0)),"")="Accepted reduction",COUNTIFS('Review &amp; Decision'!$A$7:$A$56,$A13,'Review &amp; Decision'!$L$7:$L$56,"&lt;&gt;")=1)),COUNTIFS('Review &amp; Decision'!$A$7:$A$56,$A13,'Review &amp; Decision'!$D$7:$D$56,"&lt;&gt;")=1,COUNTIFS('Review &amp; Decision'!$A$7:$A$56,$A13,'Review &amp; Decision'!$F$7:$F$56,"&lt;&gt;")=1,OR(IFERROR(INDEX('Review &amp; Decision'!$E$7:$E$56,MATCH($A13,'Review &amp; Decision'!$A$7:$A$56,0)),"")="Approved",IFERROR(INDEX('Review &amp; Decision'!$E$7:$E$56,MATCH($A13,'Review &amp; Decision'!$A$7:$A$56,0)),"")="Implemented"),ISNUMBER(IFERROR(INDEX('Review &amp; Decision'!$G$7:$G$56,MATCH($A13,'Review &amp; Decision'!$A$7:$A$56,0)),"")),IFERROR(INDEX('Review &amp; Decision'!$G$7:$G$56,MATCH($A13,'Review &amp; Decision'!$A$7:$A$56,0)),"")&gt;0,IFERROR(INDEX('Review &amp; Decision'!$G$7:$G$56,MATCH($A13,'Review &amp; Decision'!$A$7:$A$56,0)),"")&lt;=Settings!$B$7,ISNUMBER(IFERROR(INDEX('Review &amp; Decision'!$I$7:$I$56,MATCH($A13,'Review &amp; Decision'!$A$7:$A$56,0)),"")),IFERROR(INDEX('Review &amp; Decision'!$I$7:$I$56,MATCH($A13,'Review &amp; Decision'!$A$7:$A$56,0)),"")&gt;0,IFERROR(INDEX('Review &amp; Decision'!$I$7:$I$56,MATCH($A13,'Review &amp; Decision'!$A$7:$A$56,0)),"")&lt;=Settings!$B$7,IFERROR(INDEX('Review &amp; Decision'!$I$7:$I$56,MATCH($A13,'Review &amp; Decision'!$A$7:$A$56,0)),"")&gt;=IFERROR(INDEX('Review &amp; Decision'!$G$7:$G$56,MATCH($A13,'Review &amp; Decision'!$A$7:$A$56,0)),""),COUNTIFS('Review &amp; Decision'!$A$7:$A$56,$A13,'Review &amp; Decision'!$J$7:$J$56,"&lt;&gt;")=1,COUNTIFS('Review &amp; Decision'!$A$7:$A$56,$A13,'Review &amp; Decision'!$K$7:$K$56,"&lt;&gt;")=1,ISNUMBER(IFERROR(INDEX('Review &amp; Decision'!$J$7:$J$56,MATCH($A13,'Review &amp; Decision'!$A$7:$A$56,0)),"")),IFERROR(INDEX('Review &amp; Decision'!$J$7:$J$56,MATCH($A13,'Review &amp; Decision'!$A$7:$A$56,0)),"")&gt;=0,IFERROR(INDEX('Review &amp; Decision'!$J$7:$J$56,MATCH($A13,'Review &amp; Decision'!$A$7:$A$56,0)),"")&lt;=1,ISNUMBER(IFERROR(INDEX('Review &amp; Decision'!$K$7:$K$56,MATCH($A13,'Review &amp; Decision'!$A$7:$A$56,0)),"")),IFERROR(INDEX('Review &amp; Decision'!$K$7:$K$56,MATCH($A13,'Review &amp; Decision'!$A$7:$A$56,0)),"")&gt;=0,IFERROR(INDEX('Review &amp; Decision'!$K$7:$K$56,MATCH($A13,'Review &amp; Decision'!$A$7:$A$56,0)),"")&lt;=1,ISNUMBER(Settings!$B$7),Settings!$B$7&gt;0,OR(Settings!$B$8="Approved + measured",Settings!$B$8="Measured only"),LEN(TRIM(IF(COUNTIFS('Review &amp; Decision'!$A$7:$A$56,$A13,'Review &amp; Decision'!$D$7:$D$56,"&lt;&gt;")=1,IFERROR(INDEX('Review &amp; Decision'!$D$7:$D$56,MATCH($A13,'Review &amp; Decision'!$A$7:$A$56,0)),""),"")))&gt;0,LEN(TRIM(IF(COUNTIFS('Review &amp; Decision'!$A$7:$A$56,$A13,'Review &amp; Decision'!$F$7:$F$56,"&lt;&gt;")=1,IFERROR(INDEX('Review &amp; Decision'!$F$7:$F$56,MATCH($A13,'Review &amp; Decision'!$A$7:$A$56,0)),""),"")))&gt;0,OR(IFERROR(INDEX('Review &amp; Decision'!$C$7:$C$56,MATCH($A13,'Review &amp; Decision'!$A$7:$A$56,0)),"")&lt;&gt;"Accepted reduction",LEN(TRIM(IF(COUNTIFS('Review &amp; Decision'!$A$7:$A$56,$A13,'Review &amp; Decision'!$L$7:$L$56,"&lt;&gt;")=1,IFERROR(INDEX('Review &amp; Decision'!$L$7:$L$56,MATCH($A13,'Review &amp; Decision'!$A$7:$A$56,0)),""),"")))&gt;0)),1,0)</f>
        <v>0</v>
      </c>
      <c r="I13" s="14">
        <f>IF(AND(AG13=1,IFERROR(INDEX(Actuals!$M$7:$M$56,MATCH($A13,Actuals!$A$7:$A$56,0)),"")="Ready",IFERROR(INDEX(Actuals!$D$7:$D$56,MATCH($A13,Actuals!$A$7:$A$56,0)),"")&gt;=IFERROR(INDEX('Review &amp; Decision'!$I$7:$I$56,MATCH($A13,'Review &amp; Decision'!$A$7:$A$56,0)),"")),1,0)</f>
        <v>0</v>
      </c>
      <c r="J13" s="14" t="str">
        <f t="shared" si="0"/>
        <v>Example only — never in live planning</v>
      </c>
      <c r="K13" s="14">
        <f t="shared" si="1"/>
        <v>0</v>
      </c>
      <c r="L13" s="14">
        <f t="shared" si="2"/>
        <v>0</v>
      </c>
      <c r="M13" s="14">
        <f>IF(OR(L13=1,AND(K13=1,Settings!$B$8="Approved + measured")),1,0)</f>
        <v>0</v>
      </c>
      <c r="N13" s="14">
        <f>IF(E13=1,IFERROR(INDEX(Current!$H$7:$H$56,MATCH($A13,Current!$A$7:$A$56,0)),""),"")</f>
        <v>3300</v>
      </c>
      <c r="O13" s="14">
        <f>IF(F13=1,IFERROR(INDEX(Proposed!$I$7:$I$56,MATCH($A13,Proposed!$A$7:$A$56,0)),""),"")</f>
        <v>800</v>
      </c>
      <c r="P13" s="14">
        <f t="shared" si="3"/>
        <v>2500</v>
      </c>
      <c r="Q13" s="14">
        <f>IF(E13=1,IFERROR(INDEX(Current!$I$7:$I$56,MATCH($A13,Current!$A$7:$A$56,0)),""),"")</f>
        <v>100</v>
      </c>
      <c r="R13" s="14">
        <f>IF(F13=1,IFERROR(INDEX(Proposed!$J$7:$J$56,MATCH($A13,Proposed!$A$7:$A$56,0)),""),"")</f>
        <v>60</v>
      </c>
      <c r="S13" s="14">
        <f t="shared" si="4"/>
        <v>40</v>
      </c>
      <c r="T13" s="14">
        <f>IF(E13=1,IFERROR(INDEX(Current!$E$7:$E$56,MATCH($A13,Current!$A$7:$A$56,0)),""),"")</f>
        <v>0</v>
      </c>
      <c r="U13" s="14">
        <f>IF(F13=1,IFERROR(INDEX(Proposed!$E$7:$E$56,MATCH($A13,Proposed!$A$7:$A$56,0)),""),"")</f>
        <v>12000</v>
      </c>
      <c r="V13" s="14">
        <f t="shared" si="5"/>
        <v>-12000</v>
      </c>
      <c r="W13" s="14">
        <f>IF(E13=1,IFERROR(INDEX(Current!$K$7:$K$56,MATCH($A13,Current!$A$7:$A$56,0)),""),"")</f>
        <v>205500</v>
      </c>
      <c r="X13" s="14">
        <f>IF(F13=1,IFERROR(INDEX(Proposed!$L$7:$L$56,MATCH($A13,Proposed!$A$7:$A$56,0)),""),"")</f>
        <v>64500</v>
      </c>
      <c r="Y13" s="14">
        <f t="shared" si="6"/>
        <v>141000</v>
      </c>
      <c r="Z13" s="14">
        <f>IF(F13=1,IFERROR(INDEX(Proposed!$F$7:$F$56,MATCH($A13,Proposed!$A$7:$A$56,0)),""),"")</f>
        <v>15000</v>
      </c>
      <c r="AA13" s="14">
        <f>IF(M13=1,IF(IF(L13=1,AL13,P13)&gt;0,IF(L13=1,AL13,P13)*IFERROR(INDEX('Review &amp; Decision'!$J$7:$J$56,MATCH($A13,'Review &amp; Decision'!$A$7:$A$56,0)),""),IF(L13=1,AL13,P13)),0)</f>
        <v>0</v>
      </c>
      <c r="AB13" s="14">
        <f>IF(M13=1,IF(IF(L13=1,AM13,S13)&gt;0,IF(L13=1,AM13,S13)*IFERROR(INDEX('Review &amp; Decision'!$K$7:$K$56,MATCH($A13,'Review &amp; Decision'!$A$7:$A$56,0)),""),IF(L13=1,AM13,S13)),0)</f>
        <v>0</v>
      </c>
      <c r="AC13" s="14">
        <f t="shared" si="7"/>
        <v>0</v>
      </c>
      <c r="AD13" s="14">
        <f t="shared" si="8"/>
        <v>0</v>
      </c>
      <c r="AE13" s="14">
        <f t="shared" si="9"/>
        <v>0</v>
      </c>
      <c r="AF13" s="14" t="str">
        <f t="shared" si="10"/>
        <v>No measurement warning</v>
      </c>
      <c r="AG13" s="14">
        <f>IF(AND(COUNTIF(Cases!$A$7:$A$56,$A13)=1,COUNTIF(Current!$A$7:$A$56,$A13)=1,COUNTIF(Proposed!$A$7:$A$56,$A13)=1,COUNTIF('Review &amp; Decision'!$A$7:$A$56,$A13)=1,COUNTIF('Challenge Review'!$A$7:$A$56,$A13)=1,COUNTIF(Actuals!$A$7:$A$56,$A13)=1,COUNTIF(Classification!$A$7:$A$56,$A13)=1),1,0)</f>
        <v>1</v>
      </c>
      <c r="AH13" s="14">
        <f t="shared" si="11"/>
        <v>1</v>
      </c>
      <c r="AI13" s="14" t="str">
        <f>IF(COUNTIFS('Review &amp; Decision'!$A$7:$A$56,$A13,'Review &amp; Decision'!$H$7:$H$56,"&lt;&gt;")=1,IFERROR(INDEX('Review &amp; Decision'!$H$7:$H$56,MATCH($A13,'Review &amp; Decision'!$A$7:$A$56,0)),""),"")</f>
        <v>Modeled</v>
      </c>
      <c r="AJ13" s="14" t="str">
        <f>IF(COUNTIFS('Review &amp; Decision'!$A$7:$A$56,$A13,'Review &amp; Decision'!$E$7:$E$56,"&lt;&gt;")=1,IFERROR(INDEX('Review &amp; Decision'!$E$7:$E$56,MATCH($A13,'Review &amp; Decision'!$A$7:$A$56,0)),""),"")</f>
        <v>Open</v>
      </c>
      <c r="AK13" s="14" t="str">
        <f>IF(COUNTIFS('Review &amp; Decision'!$A$7:$A$56,$A13,'Review &amp; Decision'!$B$7:$B$56,"&lt;&gt;")=1,IFERROR(INDEX('Review &amp; Decision'!$B$7:$B$56,MATCH($A13,'Review &amp; Decision'!$A$7:$A$56,0)),""),"")</f>
        <v>Hypothesis</v>
      </c>
      <c r="AL13" s="14" t="str">
        <f>IF(I13=1,IFERROR(INDEX(Actuals!$E$7:$E$56,MATCH($A13,Actuals!$A$7:$A$56,0)),""),"")</f>
        <v/>
      </c>
      <c r="AM13" s="14" t="str">
        <f>IF(I13=1,IFERROR(INDEX(Actuals!$F$7:$F$56,MATCH($A13,Actuals!$A$7:$A$56,0)),""),"")</f>
        <v/>
      </c>
      <c r="AN13" s="14" t="str">
        <f>IF(I13=1,IFERROR(INDEX(Actuals!$G$7:$G$56,MATCH($A13,Actuals!$A$7:$A$56,0)),""),"")</f>
        <v/>
      </c>
      <c r="AO13" s="14" t="str">
        <f>IF(I13=1,IFERROR(INDEX(Actuals!$G$7:$G$56,MATCH($A13,Actuals!$A$7:$A$56,0)),"")+IFERROR(INDEX(Actuals!$H$7:$H$56,MATCH($A13,Actuals!$A$7:$A$56,0)),""),"")</f>
        <v/>
      </c>
      <c r="AP13" s="14" t="str">
        <f>IF(COUNTIFS(Cases!$A$7:$A$56,$A13,Cases!$G$7:$G$56,"&lt;&gt;")=1,IFERROR(INDEX(Cases!$G$7:$G$56,MATCH($A13,Cases!$A$7:$A$56,0)),""),"")</f>
        <v>Simplify</v>
      </c>
    </row>
    <row r="14" spans="1:42" ht="43.9" customHeight="1">
      <c r="A14" s="14" t="s">
        <v>94</v>
      </c>
      <c r="B14" s="14" t="str">
        <f>IF(COUNTIFS(Cases!$A$7:$A$56,$A14,Cases!$B$7:$B$56,"&lt;&gt;")=1,IFERROR(INDEX(Cases!$B$7:$B$56,MATCH($A14,Cases!$A$7:$A$56,0)),""),"")</f>
        <v>Example</v>
      </c>
      <c r="C14" s="14" t="str">
        <f>IF(COUNTIFS(Cases!$A$7:$A$56,$A14,Cases!$C$7:$C$56,"&lt;&gt;")=1,IFERROR(INDEX(Cases!$C$7:$C$56,MATCH($A14,Cases!$A$7:$A$56,0)),""),"")</f>
        <v>Policy and risk assessment workshops</v>
      </c>
      <c r="D14" s="14">
        <f>IF(AND(AG14=1,OR(B14="Example",B14="Live"),OR(AP14="Simplify",AP14="Replace",AP14="Reduce scope",AP14="Retire",AP14="Retain"),COUNTIFS(Cases!$A$7:$A$56,$A14,Cases!$C$7:$C$56,"&lt;&gt;")=1,COUNTIFS(Cases!$A$7:$A$56,$A14,Cases!$D$7:$D$56,"&lt;&gt;")=1,COUNTIFS(Cases!$A$7:$A$56,$A14,Cases!$E$7:$E$56,"&lt;&gt;")=1,COUNTIFS(Cases!$A$7:$A$56,$A14,Cases!$F$7:$F$56,"&lt;&gt;")=1,COUNTIFS(Cases!$A$7:$A$56,$A14,Cases!$H$7:$H$56,"&lt;&gt;")=1,COUNTIFS(Cases!$A$7:$A$56,$A14,Cases!$I$7:$I$56,"&lt;&gt;")=1,LEN(TRIM(IF(COUNTIFS(Cases!$A$7:$A$56,$A14,Cases!$C$7:$C$56,"&lt;&gt;")=1,IFERROR(INDEX(Cases!$C$7:$C$56,MATCH($A14,Cases!$A$7:$A$56,0)),""),"")))&gt;0,LEN(TRIM(IF(COUNTIFS(Cases!$A$7:$A$56,$A14,Cases!$D$7:$D$56,"&lt;&gt;")=1,IFERROR(INDEX(Cases!$D$7:$D$56,MATCH($A14,Cases!$A$7:$A$56,0)),""),"")))&gt;0,LEN(TRIM(IF(COUNTIFS(Cases!$A$7:$A$56,$A14,Cases!$E$7:$E$56,"&lt;&gt;")=1,IFERROR(INDEX(Cases!$E$7:$E$56,MATCH($A14,Cases!$A$7:$A$56,0)),""),"")))&gt;0,LEN(TRIM(IF(COUNTIFS(Cases!$A$7:$A$56,$A14,Cases!$F$7:$F$56,"&lt;&gt;")=1,IFERROR(INDEX(Cases!$F$7:$F$56,MATCH($A14,Cases!$A$7:$A$56,0)),""),"")))&gt;0,LEN(TRIM(IF(COUNTIFS(Cases!$A$7:$A$56,$A14,Cases!$H$7:$H$56,"&lt;&gt;")=1,IFERROR(INDEX(Cases!$H$7:$H$56,MATCH($A14,Cases!$A$7:$A$56,0)),""),"")))&gt;0,LEN(TRIM(IF(COUNTIFS(Cases!$A$7:$A$56,$A14,Cases!$I$7:$I$56,"&lt;&gt;")=1,IFERROR(INDEX(Cases!$I$7:$I$56,MATCH($A14,Cases!$A$7:$A$56,0)),""),"")))&gt;0),1,0)</f>
        <v>1</v>
      </c>
      <c r="E14" s="14">
        <f>IF(AND(AG14=1,IFERROR(INDEX(Current!$G$7:$G$56,MATCH($A14,Current!$A$7:$A$56,0)),"")="Ready"),1,0)</f>
        <v>1</v>
      </c>
      <c r="F14" s="14">
        <f>IF(AND(AG14=1,IFERROR(INDEX(Proposed!$H$7:$H$56,MATCH($A14,Proposed!$A$7:$A$56,0)),"")="Ready",OR(AP14&lt;&gt;"Retain",AND(IFERROR(INDEX(Current!$B$7:$B$56,MATCH($A14,Current!$A$7:$A$56,0)),"")=IFERROR(INDEX(Proposed!$B$7:$B$56,MATCH($A14,Proposed!$A$7:$A$56,0)),""),IFERROR(INDEX(Current!$C$7:$C$56,MATCH($A14,Current!$A$7:$A$56,0)),"")=IFERROR(INDEX(Proposed!$C$7:$C$56,MATCH($A14,Proposed!$A$7:$A$56,0)),""),IFERROR(INDEX(Current!$D$7:$D$56,MATCH($A14,Current!$A$7:$A$56,0)),"")=IFERROR(INDEX(Proposed!$D$7:$D$56,MATCH($A14,Proposed!$A$7:$A$56,0)),""),IFERROR(INDEX(Current!$E$7:$E$56,MATCH($A14,Current!$A$7:$A$56,0)),"")=IFERROR(INDEX(Proposed!$E$7:$E$56,MATCH($A14,Proposed!$A$7:$A$56,0)),"")))),1,0)</f>
        <v>1</v>
      </c>
      <c r="G14" s="14" t="str">
        <f>IF(COUNTIFS('Challenge Review'!$A$7:$A$56,$A14,'Challenge Review'!$K$7:$K$56,"&lt;&gt;")=1,IFERROR(INDEX('Challenge Review'!$K$7:$K$56,MATCH($A14,'Challenge Review'!$A$7:$A$56,0)),""),"")</f>
        <v>Unchecked</v>
      </c>
      <c r="H14" s="14">
        <f>IF(AND(AG14=1,IFERROR(INDEX('Review &amp; Decision'!$B$7:$B$56,MATCH($A14,'Review &amp; Decision'!$A$7:$A$56,0)),"")="Evidence-backed",OR(IFERROR(INDEX('Review &amp; Decision'!$C$7:$C$56,MATCH($A14,'Review &amp; Decision'!$A$7:$A$56,0)),"")="Equivalent or better",AND(IFERROR(INDEX('Review &amp; Decision'!$C$7:$C$56,MATCH($A14,'Review &amp; Decision'!$A$7:$A$56,0)),"")="Accepted reduction",COUNTIFS('Review &amp; Decision'!$A$7:$A$56,$A14,'Review &amp; Decision'!$L$7:$L$56,"&lt;&gt;")=1)),COUNTIFS('Review &amp; Decision'!$A$7:$A$56,$A14,'Review &amp; Decision'!$D$7:$D$56,"&lt;&gt;")=1,COUNTIFS('Review &amp; Decision'!$A$7:$A$56,$A14,'Review &amp; Decision'!$F$7:$F$56,"&lt;&gt;")=1,OR(IFERROR(INDEX('Review &amp; Decision'!$E$7:$E$56,MATCH($A14,'Review &amp; Decision'!$A$7:$A$56,0)),"")="Approved",IFERROR(INDEX('Review &amp; Decision'!$E$7:$E$56,MATCH($A14,'Review &amp; Decision'!$A$7:$A$56,0)),"")="Implemented"),ISNUMBER(IFERROR(INDEX('Review &amp; Decision'!$G$7:$G$56,MATCH($A14,'Review &amp; Decision'!$A$7:$A$56,0)),"")),IFERROR(INDEX('Review &amp; Decision'!$G$7:$G$56,MATCH($A14,'Review &amp; Decision'!$A$7:$A$56,0)),"")&gt;0,IFERROR(INDEX('Review &amp; Decision'!$G$7:$G$56,MATCH($A14,'Review &amp; Decision'!$A$7:$A$56,0)),"")&lt;=Settings!$B$7,ISNUMBER(IFERROR(INDEX('Review &amp; Decision'!$I$7:$I$56,MATCH($A14,'Review &amp; Decision'!$A$7:$A$56,0)),"")),IFERROR(INDEX('Review &amp; Decision'!$I$7:$I$56,MATCH($A14,'Review &amp; Decision'!$A$7:$A$56,0)),"")&gt;0,IFERROR(INDEX('Review &amp; Decision'!$I$7:$I$56,MATCH($A14,'Review &amp; Decision'!$A$7:$A$56,0)),"")&lt;=Settings!$B$7,IFERROR(INDEX('Review &amp; Decision'!$I$7:$I$56,MATCH($A14,'Review &amp; Decision'!$A$7:$A$56,0)),"")&gt;=IFERROR(INDEX('Review &amp; Decision'!$G$7:$G$56,MATCH($A14,'Review &amp; Decision'!$A$7:$A$56,0)),""),COUNTIFS('Review &amp; Decision'!$A$7:$A$56,$A14,'Review &amp; Decision'!$J$7:$J$56,"&lt;&gt;")=1,COUNTIFS('Review &amp; Decision'!$A$7:$A$56,$A14,'Review &amp; Decision'!$K$7:$K$56,"&lt;&gt;")=1,ISNUMBER(IFERROR(INDEX('Review &amp; Decision'!$J$7:$J$56,MATCH($A14,'Review &amp; Decision'!$A$7:$A$56,0)),"")),IFERROR(INDEX('Review &amp; Decision'!$J$7:$J$56,MATCH($A14,'Review &amp; Decision'!$A$7:$A$56,0)),"")&gt;=0,IFERROR(INDEX('Review &amp; Decision'!$J$7:$J$56,MATCH($A14,'Review &amp; Decision'!$A$7:$A$56,0)),"")&lt;=1,ISNUMBER(IFERROR(INDEX('Review &amp; Decision'!$K$7:$K$56,MATCH($A14,'Review &amp; Decision'!$A$7:$A$56,0)),"")),IFERROR(INDEX('Review &amp; Decision'!$K$7:$K$56,MATCH($A14,'Review &amp; Decision'!$A$7:$A$56,0)),"")&gt;=0,IFERROR(INDEX('Review &amp; Decision'!$K$7:$K$56,MATCH($A14,'Review &amp; Decision'!$A$7:$A$56,0)),"")&lt;=1,ISNUMBER(Settings!$B$7),Settings!$B$7&gt;0,OR(Settings!$B$8="Approved + measured",Settings!$B$8="Measured only"),LEN(TRIM(IF(COUNTIFS('Review &amp; Decision'!$A$7:$A$56,$A14,'Review &amp; Decision'!$D$7:$D$56,"&lt;&gt;")=1,IFERROR(INDEX('Review &amp; Decision'!$D$7:$D$56,MATCH($A14,'Review &amp; Decision'!$A$7:$A$56,0)),""),"")))&gt;0,LEN(TRIM(IF(COUNTIFS('Review &amp; Decision'!$A$7:$A$56,$A14,'Review &amp; Decision'!$F$7:$F$56,"&lt;&gt;")=1,IFERROR(INDEX('Review &amp; Decision'!$F$7:$F$56,MATCH($A14,'Review &amp; Decision'!$A$7:$A$56,0)),""),"")))&gt;0,OR(IFERROR(INDEX('Review &amp; Decision'!$C$7:$C$56,MATCH($A14,'Review &amp; Decision'!$A$7:$A$56,0)),"")&lt;&gt;"Accepted reduction",LEN(TRIM(IF(COUNTIFS('Review &amp; Decision'!$A$7:$A$56,$A14,'Review &amp; Decision'!$L$7:$L$56,"&lt;&gt;")=1,IFERROR(INDEX('Review &amp; Decision'!$L$7:$L$56,MATCH($A14,'Review &amp; Decision'!$A$7:$A$56,0)),""),"")))&gt;0)),1,0)</f>
        <v>0</v>
      </c>
      <c r="I14" s="14">
        <f>IF(AND(AG14=1,IFERROR(INDEX(Actuals!$M$7:$M$56,MATCH($A14,Actuals!$A$7:$A$56,0)),"")="Ready",IFERROR(INDEX(Actuals!$D$7:$D$56,MATCH($A14,Actuals!$A$7:$A$56,0)),"")&gt;=IFERROR(INDEX('Review &amp; Decision'!$I$7:$I$56,MATCH($A14,'Review &amp; Decision'!$A$7:$A$56,0)),"")),1,0)</f>
        <v>0</v>
      </c>
      <c r="J14" s="14" t="str">
        <f t="shared" si="0"/>
        <v>Example only — never in live planning</v>
      </c>
      <c r="K14" s="14">
        <f t="shared" si="1"/>
        <v>0</v>
      </c>
      <c r="L14" s="14">
        <f t="shared" si="2"/>
        <v>0</v>
      </c>
      <c r="M14" s="14">
        <f>IF(OR(L14=1,AND(K14=1,Settings!$B$8="Approved + measured")),1,0)</f>
        <v>0</v>
      </c>
      <c r="N14" s="14">
        <f>IF(E14=1,IFERROR(INDEX(Current!$H$7:$H$56,MATCH($A14,Current!$A$7:$A$56,0)),""),"")</f>
        <v>600</v>
      </c>
      <c r="O14" s="14">
        <f>IF(F14=1,IFERROR(INDEX(Proposed!$I$7:$I$56,MATCH($A14,Proposed!$A$7:$A$56,0)),""),"")</f>
        <v>150</v>
      </c>
      <c r="P14" s="14">
        <f t="shared" si="3"/>
        <v>450</v>
      </c>
      <c r="Q14" s="14">
        <f>IF(E14=1,IFERROR(INDEX(Current!$I$7:$I$56,MATCH($A14,Current!$A$7:$A$56,0)),""),"")</f>
        <v>120</v>
      </c>
      <c r="R14" s="14">
        <f>IF(F14=1,IFERROR(INDEX(Proposed!$J$7:$J$56,MATCH($A14,Proposed!$A$7:$A$56,0)),""),"")</f>
        <v>40</v>
      </c>
      <c r="S14" s="14">
        <f t="shared" si="4"/>
        <v>80</v>
      </c>
      <c r="T14" s="14">
        <f>IF(E14=1,IFERROR(INDEX(Current!$E$7:$E$56,MATCH($A14,Current!$A$7:$A$56,0)),""),"")</f>
        <v>0</v>
      </c>
      <c r="U14" s="14">
        <f>IF(F14=1,IFERROR(INDEX(Proposed!$E$7:$E$56,MATCH($A14,Proposed!$A$7:$A$56,0)),""),"")</f>
        <v>0</v>
      </c>
      <c r="V14" s="14">
        <f t="shared" si="5"/>
        <v>0</v>
      </c>
      <c r="W14" s="14">
        <f>IF(E14=1,IFERROR(INDEX(Current!$K$7:$K$56,MATCH($A14,Current!$A$7:$A$56,0)),""),"")</f>
        <v>63000</v>
      </c>
      <c r="X14" s="14">
        <f>IF(F14=1,IFERROR(INDEX(Proposed!$L$7:$L$56,MATCH($A14,Proposed!$A$7:$A$56,0)),""),"")</f>
        <v>16500</v>
      </c>
      <c r="Y14" s="14">
        <f t="shared" si="6"/>
        <v>46500</v>
      </c>
      <c r="Z14" s="14">
        <f>IF(F14=1,IFERROR(INDEX(Proposed!$F$7:$F$56,MATCH($A14,Proposed!$A$7:$A$56,0)),""),"")</f>
        <v>2000</v>
      </c>
      <c r="AA14" s="14">
        <f>IF(M14=1,IF(IF(L14=1,AL14,P14)&gt;0,IF(L14=1,AL14,P14)*IFERROR(INDEX('Review &amp; Decision'!$J$7:$J$56,MATCH($A14,'Review &amp; Decision'!$A$7:$A$56,0)),""),IF(L14=1,AL14,P14)),0)</f>
        <v>0</v>
      </c>
      <c r="AB14" s="14">
        <f>IF(M14=1,IF(IF(L14=1,AM14,S14)&gt;0,IF(L14=1,AM14,S14)*IFERROR(INDEX('Review &amp; Decision'!$K$7:$K$56,MATCH($A14,'Review &amp; Decision'!$A$7:$A$56,0)),""),IF(L14=1,AM14,S14)),0)</f>
        <v>0</v>
      </c>
      <c r="AC14" s="14">
        <f t="shared" si="7"/>
        <v>0</v>
      </c>
      <c r="AD14" s="14">
        <f t="shared" si="8"/>
        <v>0</v>
      </c>
      <c r="AE14" s="14">
        <f t="shared" si="9"/>
        <v>0</v>
      </c>
      <c r="AF14" s="14" t="str">
        <f t="shared" si="10"/>
        <v>No measurement warning</v>
      </c>
      <c r="AG14" s="14">
        <f>IF(AND(COUNTIF(Cases!$A$7:$A$56,$A14)=1,COUNTIF(Current!$A$7:$A$56,$A14)=1,COUNTIF(Proposed!$A$7:$A$56,$A14)=1,COUNTIF('Review &amp; Decision'!$A$7:$A$56,$A14)=1,COUNTIF('Challenge Review'!$A$7:$A$56,$A14)=1,COUNTIF(Actuals!$A$7:$A$56,$A14)=1,COUNTIF(Classification!$A$7:$A$56,$A14)=1),1,0)</f>
        <v>1</v>
      </c>
      <c r="AH14" s="14">
        <f t="shared" si="11"/>
        <v>1</v>
      </c>
      <c r="AI14" s="14" t="str">
        <f>IF(COUNTIFS('Review &amp; Decision'!$A$7:$A$56,$A14,'Review &amp; Decision'!$H$7:$H$56,"&lt;&gt;")=1,IFERROR(INDEX('Review &amp; Decision'!$H$7:$H$56,MATCH($A14,'Review &amp; Decision'!$A$7:$A$56,0)),""),"")</f>
        <v>Modeled</v>
      </c>
      <c r="AJ14" s="14" t="str">
        <f>IF(COUNTIFS('Review &amp; Decision'!$A$7:$A$56,$A14,'Review &amp; Decision'!$E$7:$E$56,"&lt;&gt;")=1,IFERROR(INDEX('Review &amp; Decision'!$E$7:$E$56,MATCH($A14,'Review &amp; Decision'!$A$7:$A$56,0)),""),"")</f>
        <v>Open</v>
      </c>
      <c r="AK14" s="14" t="str">
        <f>IF(COUNTIFS('Review &amp; Decision'!$A$7:$A$56,$A14,'Review &amp; Decision'!$B$7:$B$56,"&lt;&gt;")=1,IFERROR(INDEX('Review &amp; Decision'!$B$7:$B$56,MATCH($A14,'Review &amp; Decision'!$A$7:$A$56,0)),""),"")</f>
        <v>Hypothesis</v>
      </c>
      <c r="AL14" s="14" t="str">
        <f>IF(I14=1,IFERROR(INDEX(Actuals!$E$7:$E$56,MATCH($A14,Actuals!$A$7:$A$56,0)),""),"")</f>
        <v/>
      </c>
      <c r="AM14" s="14" t="str">
        <f>IF(I14=1,IFERROR(INDEX(Actuals!$F$7:$F$56,MATCH($A14,Actuals!$A$7:$A$56,0)),""),"")</f>
        <v/>
      </c>
      <c r="AN14" s="14" t="str">
        <f>IF(I14=1,IFERROR(INDEX(Actuals!$G$7:$G$56,MATCH($A14,Actuals!$A$7:$A$56,0)),""),"")</f>
        <v/>
      </c>
      <c r="AO14" s="14" t="str">
        <f>IF(I14=1,IFERROR(INDEX(Actuals!$G$7:$G$56,MATCH($A14,Actuals!$A$7:$A$56,0)),"")+IFERROR(INDEX(Actuals!$H$7:$H$56,MATCH($A14,Actuals!$A$7:$A$56,0)),""),"")</f>
        <v/>
      </c>
      <c r="AP14" s="14" t="str">
        <f>IF(COUNTIFS(Cases!$A$7:$A$56,$A14,Cases!$G$7:$G$56,"&lt;&gt;")=1,IFERROR(INDEX(Cases!$G$7:$G$56,MATCH($A14,Cases!$A$7:$A$56,0)),""),"")</f>
        <v>Simplify</v>
      </c>
    </row>
    <row r="15" spans="1:42" ht="43.9" customHeight="1">
      <c r="A15" s="14" t="s">
        <v>97</v>
      </c>
      <c r="B15" s="14" t="str">
        <f>IF(COUNTIFS(Cases!$A$7:$A$56,$A15,Cases!$B$7:$B$56,"&lt;&gt;")=1,IFERROR(INDEX(Cases!$B$7:$B$56,MATCH($A15,Cases!$A$7:$A$56,0)),""),"")</f>
        <v>Example</v>
      </c>
      <c r="C15" s="14" t="str">
        <f>IF(COUNTIFS(Cases!$A$7:$A$56,$A15,Cases!$C$7:$C$56,"&lt;&gt;")=1,IFERROR(INDEX(Cases!$C$7:$C$56,MATCH($A15,Cases!$A$7:$A$56,0)),""),"")</f>
        <v>Phishing-resistant authentication</v>
      </c>
      <c r="D15" s="14">
        <f>IF(AND(AG15=1,OR(B15="Example",B15="Live"),OR(AP15="Simplify",AP15="Replace",AP15="Reduce scope",AP15="Retire",AP15="Retain"),COUNTIFS(Cases!$A$7:$A$56,$A15,Cases!$C$7:$C$56,"&lt;&gt;")=1,COUNTIFS(Cases!$A$7:$A$56,$A15,Cases!$D$7:$D$56,"&lt;&gt;")=1,COUNTIFS(Cases!$A$7:$A$56,$A15,Cases!$E$7:$E$56,"&lt;&gt;")=1,COUNTIFS(Cases!$A$7:$A$56,$A15,Cases!$F$7:$F$56,"&lt;&gt;")=1,COUNTIFS(Cases!$A$7:$A$56,$A15,Cases!$H$7:$H$56,"&lt;&gt;")=1,COUNTIFS(Cases!$A$7:$A$56,$A15,Cases!$I$7:$I$56,"&lt;&gt;")=1,LEN(TRIM(IF(COUNTIFS(Cases!$A$7:$A$56,$A15,Cases!$C$7:$C$56,"&lt;&gt;")=1,IFERROR(INDEX(Cases!$C$7:$C$56,MATCH($A15,Cases!$A$7:$A$56,0)),""),"")))&gt;0,LEN(TRIM(IF(COUNTIFS(Cases!$A$7:$A$56,$A15,Cases!$D$7:$D$56,"&lt;&gt;")=1,IFERROR(INDEX(Cases!$D$7:$D$56,MATCH($A15,Cases!$A$7:$A$56,0)),""),"")))&gt;0,LEN(TRIM(IF(COUNTIFS(Cases!$A$7:$A$56,$A15,Cases!$E$7:$E$56,"&lt;&gt;")=1,IFERROR(INDEX(Cases!$E$7:$E$56,MATCH($A15,Cases!$A$7:$A$56,0)),""),"")))&gt;0,LEN(TRIM(IF(COUNTIFS(Cases!$A$7:$A$56,$A15,Cases!$F$7:$F$56,"&lt;&gt;")=1,IFERROR(INDEX(Cases!$F$7:$F$56,MATCH($A15,Cases!$A$7:$A$56,0)),""),"")))&gt;0,LEN(TRIM(IF(COUNTIFS(Cases!$A$7:$A$56,$A15,Cases!$H$7:$H$56,"&lt;&gt;")=1,IFERROR(INDEX(Cases!$H$7:$H$56,MATCH($A15,Cases!$A$7:$A$56,0)),""),"")))&gt;0,LEN(TRIM(IF(COUNTIFS(Cases!$A$7:$A$56,$A15,Cases!$I$7:$I$56,"&lt;&gt;")=1,IFERROR(INDEX(Cases!$I$7:$I$56,MATCH($A15,Cases!$A$7:$A$56,0)),""),"")))&gt;0),1,0)</f>
        <v>1</v>
      </c>
      <c r="E15" s="14">
        <f>IF(AND(AG15=1,IFERROR(INDEX(Current!$G$7:$G$56,MATCH($A15,Current!$A$7:$A$56,0)),"")="Ready"),1,0)</f>
        <v>1</v>
      </c>
      <c r="F15" s="14">
        <f>IF(AND(AG15=1,IFERROR(INDEX(Proposed!$H$7:$H$56,MATCH($A15,Proposed!$A$7:$A$56,0)),"")="Ready",OR(AP15&lt;&gt;"Retain",AND(IFERROR(INDEX(Current!$B$7:$B$56,MATCH($A15,Current!$A$7:$A$56,0)),"")=IFERROR(INDEX(Proposed!$B$7:$B$56,MATCH($A15,Proposed!$A$7:$A$56,0)),""),IFERROR(INDEX(Current!$C$7:$C$56,MATCH($A15,Current!$A$7:$A$56,0)),"")=IFERROR(INDEX(Proposed!$C$7:$C$56,MATCH($A15,Proposed!$A$7:$A$56,0)),""),IFERROR(INDEX(Current!$D$7:$D$56,MATCH($A15,Current!$A$7:$A$56,0)),"")=IFERROR(INDEX(Proposed!$D$7:$D$56,MATCH($A15,Proposed!$A$7:$A$56,0)),""),IFERROR(INDEX(Current!$E$7:$E$56,MATCH($A15,Current!$A$7:$A$56,0)),"")=IFERROR(INDEX(Proposed!$E$7:$E$56,MATCH($A15,Proposed!$A$7:$A$56,0)),"")))),1,0)</f>
        <v>1</v>
      </c>
      <c r="G15" s="14" t="str">
        <f>IF(COUNTIFS('Challenge Review'!$A$7:$A$56,$A15,'Challenge Review'!$K$7:$K$56,"&lt;&gt;")=1,IFERROR(INDEX('Challenge Review'!$K$7:$K$56,MATCH($A15,'Challenge Review'!$A$7:$A$56,0)),""),"")</f>
        <v>Unchecked</v>
      </c>
      <c r="H15" s="14">
        <f>IF(AND(AG15=1,IFERROR(INDEX('Review &amp; Decision'!$B$7:$B$56,MATCH($A15,'Review &amp; Decision'!$A$7:$A$56,0)),"")="Evidence-backed",OR(IFERROR(INDEX('Review &amp; Decision'!$C$7:$C$56,MATCH($A15,'Review &amp; Decision'!$A$7:$A$56,0)),"")="Equivalent or better",AND(IFERROR(INDEX('Review &amp; Decision'!$C$7:$C$56,MATCH($A15,'Review &amp; Decision'!$A$7:$A$56,0)),"")="Accepted reduction",COUNTIFS('Review &amp; Decision'!$A$7:$A$56,$A15,'Review &amp; Decision'!$L$7:$L$56,"&lt;&gt;")=1)),COUNTIFS('Review &amp; Decision'!$A$7:$A$56,$A15,'Review &amp; Decision'!$D$7:$D$56,"&lt;&gt;")=1,COUNTIFS('Review &amp; Decision'!$A$7:$A$56,$A15,'Review &amp; Decision'!$F$7:$F$56,"&lt;&gt;")=1,OR(IFERROR(INDEX('Review &amp; Decision'!$E$7:$E$56,MATCH($A15,'Review &amp; Decision'!$A$7:$A$56,0)),"")="Approved",IFERROR(INDEX('Review &amp; Decision'!$E$7:$E$56,MATCH($A15,'Review &amp; Decision'!$A$7:$A$56,0)),"")="Implemented"),ISNUMBER(IFERROR(INDEX('Review &amp; Decision'!$G$7:$G$56,MATCH($A15,'Review &amp; Decision'!$A$7:$A$56,0)),"")),IFERROR(INDEX('Review &amp; Decision'!$G$7:$G$56,MATCH($A15,'Review &amp; Decision'!$A$7:$A$56,0)),"")&gt;0,IFERROR(INDEX('Review &amp; Decision'!$G$7:$G$56,MATCH($A15,'Review &amp; Decision'!$A$7:$A$56,0)),"")&lt;=Settings!$B$7,ISNUMBER(IFERROR(INDEX('Review &amp; Decision'!$I$7:$I$56,MATCH($A15,'Review &amp; Decision'!$A$7:$A$56,0)),"")),IFERROR(INDEX('Review &amp; Decision'!$I$7:$I$56,MATCH($A15,'Review &amp; Decision'!$A$7:$A$56,0)),"")&gt;0,IFERROR(INDEX('Review &amp; Decision'!$I$7:$I$56,MATCH($A15,'Review &amp; Decision'!$A$7:$A$56,0)),"")&lt;=Settings!$B$7,IFERROR(INDEX('Review &amp; Decision'!$I$7:$I$56,MATCH($A15,'Review &amp; Decision'!$A$7:$A$56,0)),"")&gt;=IFERROR(INDEX('Review &amp; Decision'!$G$7:$G$56,MATCH($A15,'Review &amp; Decision'!$A$7:$A$56,0)),""),COUNTIFS('Review &amp; Decision'!$A$7:$A$56,$A15,'Review &amp; Decision'!$J$7:$J$56,"&lt;&gt;")=1,COUNTIFS('Review &amp; Decision'!$A$7:$A$56,$A15,'Review &amp; Decision'!$K$7:$K$56,"&lt;&gt;")=1,ISNUMBER(IFERROR(INDEX('Review &amp; Decision'!$J$7:$J$56,MATCH($A15,'Review &amp; Decision'!$A$7:$A$56,0)),"")),IFERROR(INDEX('Review &amp; Decision'!$J$7:$J$56,MATCH($A15,'Review &amp; Decision'!$A$7:$A$56,0)),"")&gt;=0,IFERROR(INDEX('Review &amp; Decision'!$J$7:$J$56,MATCH($A15,'Review &amp; Decision'!$A$7:$A$56,0)),"")&lt;=1,ISNUMBER(IFERROR(INDEX('Review &amp; Decision'!$K$7:$K$56,MATCH($A15,'Review &amp; Decision'!$A$7:$A$56,0)),"")),IFERROR(INDEX('Review &amp; Decision'!$K$7:$K$56,MATCH($A15,'Review &amp; Decision'!$A$7:$A$56,0)),"")&gt;=0,IFERROR(INDEX('Review &amp; Decision'!$K$7:$K$56,MATCH($A15,'Review &amp; Decision'!$A$7:$A$56,0)),"")&lt;=1,ISNUMBER(Settings!$B$7),Settings!$B$7&gt;0,OR(Settings!$B$8="Approved + measured",Settings!$B$8="Measured only"),LEN(TRIM(IF(COUNTIFS('Review &amp; Decision'!$A$7:$A$56,$A15,'Review &amp; Decision'!$D$7:$D$56,"&lt;&gt;")=1,IFERROR(INDEX('Review &amp; Decision'!$D$7:$D$56,MATCH($A15,'Review &amp; Decision'!$A$7:$A$56,0)),""),"")))&gt;0,LEN(TRIM(IF(COUNTIFS('Review &amp; Decision'!$A$7:$A$56,$A15,'Review &amp; Decision'!$F$7:$F$56,"&lt;&gt;")=1,IFERROR(INDEX('Review &amp; Decision'!$F$7:$F$56,MATCH($A15,'Review &amp; Decision'!$A$7:$A$56,0)),""),"")))&gt;0,OR(IFERROR(INDEX('Review &amp; Decision'!$C$7:$C$56,MATCH($A15,'Review &amp; Decision'!$A$7:$A$56,0)),"")&lt;&gt;"Accepted reduction",LEN(TRIM(IF(COUNTIFS('Review &amp; Decision'!$A$7:$A$56,$A15,'Review &amp; Decision'!$L$7:$L$56,"&lt;&gt;")=1,IFERROR(INDEX('Review &amp; Decision'!$L$7:$L$56,MATCH($A15,'Review &amp; Decision'!$A$7:$A$56,0)),""),"")))&gt;0)),1,0)</f>
        <v>0</v>
      </c>
      <c r="I15" s="14">
        <f>IF(AND(AG15=1,IFERROR(INDEX(Actuals!$M$7:$M$56,MATCH($A15,Actuals!$A$7:$A$56,0)),"")="Ready",IFERROR(INDEX(Actuals!$D$7:$D$56,MATCH($A15,Actuals!$A$7:$A$56,0)),"")&gt;=IFERROR(INDEX('Review &amp; Decision'!$I$7:$I$56,MATCH($A15,'Review &amp; Decision'!$A$7:$A$56,0)),"")),1,0)</f>
        <v>0</v>
      </c>
      <c r="J15" s="14" t="str">
        <f t="shared" si="0"/>
        <v>Example only — never in live planning</v>
      </c>
      <c r="K15" s="14">
        <f t="shared" si="1"/>
        <v>0</v>
      </c>
      <c r="L15" s="14">
        <f t="shared" si="2"/>
        <v>0</v>
      </c>
      <c r="M15" s="14">
        <f>IF(OR(L15=1,AND(K15=1,Settings!$B$8="Approved + measured")),1,0)</f>
        <v>0</v>
      </c>
      <c r="N15" s="14">
        <f>IF(E15=1,IFERROR(INDEX(Current!$H$7:$H$56,MATCH($A15,Current!$A$7:$A$56,0)),""),"")</f>
        <v>1100</v>
      </c>
      <c r="O15" s="14">
        <f>IF(F15=1,IFERROR(INDEX(Proposed!$I$7:$I$56,MATCH($A15,Proposed!$A$7:$A$56,0)),""),"")</f>
        <v>1100</v>
      </c>
      <c r="P15" s="14">
        <f t="shared" si="3"/>
        <v>0</v>
      </c>
      <c r="Q15" s="14">
        <f>IF(E15=1,IFERROR(INDEX(Current!$I$7:$I$56,MATCH($A15,Current!$A$7:$A$56,0)),""),"")</f>
        <v>80</v>
      </c>
      <c r="R15" s="14">
        <f>IF(F15=1,IFERROR(INDEX(Proposed!$J$7:$J$56,MATCH($A15,Proposed!$A$7:$A$56,0)),""),"")</f>
        <v>80</v>
      </c>
      <c r="S15" s="14">
        <f t="shared" si="4"/>
        <v>0</v>
      </c>
      <c r="T15" s="14">
        <f>IF(E15=1,IFERROR(INDEX(Current!$E$7:$E$56,MATCH($A15,Current!$A$7:$A$56,0)),""),"")</f>
        <v>4000</v>
      </c>
      <c r="U15" s="14">
        <f>IF(F15=1,IFERROR(INDEX(Proposed!$E$7:$E$56,MATCH($A15,Proposed!$A$7:$A$56,0)),""),"")</f>
        <v>4000</v>
      </c>
      <c r="V15" s="14">
        <f t="shared" si="5"/>
        <v>0</v>
      </c>
      <c r="W15" s="14">
        <f>IF(E15=1,IFERROR(INDEX(Current!$K$7:$K$56,MATCH($A15,Current!$A$7:$A$56,0)),""),"")</f>
        <v>76000</v>
      </c>
      <c r="X15" s="14">
        <f>IF(F15=1,IFERROR(INDEX(Proposed!$L$7:$L$56,MATCH($A15,Proposed!$A$7:$A$56,0)),""),"")</f>
        <v>76000</v>
      </c>
      <c r="Y15" s="14">
        <f t="shared" si="6"/>
        <v>0</v>
      </c>
      <c r="Z15" s="14">
        <f>IF(F15=1,IFERROR(INDEX(Proposed!$F$7:$F$56,MATCH($A15,Proposed!$A$7:$A$56,0)),""),"")</f>
        <v>0</v>
      </c>
      <c r="AA15" s="14">
        <f>IF(M15=1,IF(IF(L15=1,AL15,P15)&gt;0,IF(L15=1,AL15,P15)*IFERROR(INDEX('Review &amp; Decision'!$J$7:$J$56,MATCH($A15,'Review &amp; Decision'!$A$7:$A$56,0)),""),IF(L15=1,AL15,P15)),0)</f>
        <v>0</v>
      </c>
      <c r="AB15" s="14">
        <f>IF(M15=1,IF(IF(L15=1,AM15,S15)&gt;0,IF(L15=1,AM15,S15)*IFERROR(INDEX('Review &amp; Decision'!$K$7:$K$56,MATCH($A15,'Review &amp; Decision'!$A$7:$A$56,0)),""),IF(L15=1,AM15,S15)),0)</f>
        <v>0</v>
      </c>
      <c r="AC15" s="14">
        <f t="shared" si="7"/>
        <v>0</v>
      </c>
      <c r="AD15" s="14">
        <f t="shared" si="8"/>
        <v>0</v>
      </c>
      <c r="AE15" s="14">
        <f t="shared" si="9"/>
        <v>0</v>
      </c>
      <c r="AF15" s="14" t="str">
        <f t="shared" si="10"/>
        <v>No measurement warning</v>
      </c>
      <c r="AG15" s="14">
        <f>IF(AND(COUNTIF(Cases!$A$7:$A$56,$A15)=1,COUNTIF(Current!$A$7:$A$56,$A15)=1,COUNTIF(Proposed!$A$7:$A$56,$A15)=1,COUNTIF('Review &amp; Decision'!$A$7:$A$56,$A15)=1,COUNTIF('Challenge Review'!$A$7:$A$56,$A15)=1,COUNTIF(Actuals!$A$7:$A$56,$A15)=1,COUNTIF(Classification!$A$7:$A$56,$A15)=1),1,0)</f>
        <v>1</v>
      </c>
      <c r="AH15" s="14">
        <f t="shared" si="11"/>
        <v>1</v>
      </c>
      <c r="AI15" s="14" t="str">
        <f>IF(COUNTIFS('Review &amp; Decision'!$A$7:$A$56,$A15,'Review &amp; Decision'!$H$7:$H$56,"&lt;&gt;")=1,IFERROR(INDEX('Review &amp; Decision'!$H$7:$H$56,MATCH($A15,'Review &amp; Decision'!$A$7:$A$56,0)),""),"")</f>
        <v>Modeled</v>
      </c>
      <c r="AJ15" s="14" t="str">
        <f>IF(COUNTIFS('Review &amp; Decision'!$A$7:$A$56,$A15,'Review &amp; Decision'!$E$7:$E$56,"&lt;&gt;")=1,IFERROR(INDEX('Review &amp; Decision'!$E$7:$E$56,MATCH($A15,'Review &amp; Decision'!$A$7:$A$56,0)),""),"")</f>
        <v>Open</v>
      </c>
      <c r="AK15" s="14" t="str">
        <f>IF(COUNTIFS('Review &amp; Decision'!$A$7:$A$56,$A15,'Review &amp; Decision'!$B$7:$B$56,"&lt;&gt;")=1,IFERROR(INDEX('Review &amp; Decision'!$B$7:$B$56,MATCH($A15,'Review &amp; Decision'!$A$7:$A$56,0)),""),"")</f>
        <v>Hypothesis</v>
      </c>
      <c r="AL15" s="14" t="str">
        <f>IF(I15=1,IFERROR(INDEX(Actuals!$E$7:$E$56,MATCH($A15,Actuals!$A$7:$A$56,0)),""),"")</f>
        <v/>
      </c>
      <c r="AM15" s="14" t="str">
        <f>IF(I15=1,IFERROR(INDEX(Actuals!$F$7:$F$56,MATCH($A15,Actuals!$A$7:$A$56,0)),""),"")</f>
        <v/>
      </c>
      <c r="AN15" s="14" t="str">
        <f>IF(I15=1,IFERROR(INDEX(Actuals!$G$7:$G$56,MATCH($A15,Actuals!$A$7:$A$56,0)),""),"")</f>
        <v/>
      </c>
      <c r="AO15" s="14" t="str">
        <f>IF(I15=1,IFERROR(INDEX(Actuals!$G$7:$G$56,MATCH($A15,Actuals!$A$7:$A$56,0)),"")+IFERROR(INDEX(Actuals!$H$7:$H$56,MATCH($A15,Actuals!$A$7:$A$56,0)),""),"")</f>
        <v/>
      </c>
      <c r="AP15" s="14" t="str">
        <f>IF(COUNTIFS(Cases!$A$7:$A$56,$A15,Cases!$G$7:$G$56,"&lt;&gt;")=1,IFERROR(INDEX(Cases!$G$7:$G$56,MATCH($A15,Cases!$A$7:$A$56,0)),""),"")</f>
        <v>Retain</v>
      </c>
    </row>
    <row r="16" spans="1:42" ht="43.9" customHeight="1">
      <c r="A16" s="14" t="s">
        <v>102</v>
      </c>
      <c r="B16" s="14" t="str">
        <f>IF(COUNTIFS(Cases!$A$7:$A$56,$A16,Cases!$B$7:$B$56,"&lt;&gt;")=1,IFERROR(INDEX(Cases!$B$7:$B$56,MATCH($A16,Cases!$A$7:$A$56,0)),""),"")</f>
        <v>Example</v>
      </c>
      <c r="C16" s="14" t="str">
        <f>IF(COUNTIFS(Cases!$A$7:$A$56,$A16,Cases!$C$7:$C$56,"&lt;&gt;")=1,IFERROR(INDEX(Cases!$C$7:$C$56,MATCH($A16,Cases!$A$7:$A$56,0)),""),"")</f>
        <v>Endpoint detection and response</v>
      </c>
      <c r="D16" s="14">
        <f>IF(AND(AG16=1,OR(B16="Example",B16="Live"),OR(AP16="Simplify",AP16="Replace",AP16="Reduce scope",AP16="Retire",AP16="Retain"),COUNTIFS(Cases!$A$7:$A$56,$A16,Cases!$C$7:$C$56,"&lt;&gt;")=1,COUNTIFS(Cases!$A$7:$A$56,$A16,Cases!$D$7:$D$56,"&lt;&gt;")=1,COUNTIFS(Cases!$A$7:$A$56,$A16,Cases!$E$7:$E$56,"&lt;&gt;")=1,COUNTIFS(Cases!$A$7:$A$56,$A16,Cases!$F$7:$F$56,"&lt;&gt;")=1,COUNTIFS(Cases!$A$7:$A$56,$A16,Cases!$H$7:$H$56,"&lt;&gt;")=1,COUNTIFS(Cases!$A$7:$A$56,$A16,Cases!$I$7:$I$56,"&lt;&gt;")=1,LEN(TRIM(IF(COUNTIFS(Cases!$A$7:$A$56,$A16,Cases!$C$7:$C$56,"&lt;&gt;")=1,IFERROR(INDEX(Cases!$C$7:$C$56,MATCH($A16,Cases!$A$7:$A$56,0)),""),"")))&gt;0,LEN(TRIM(IF(COUNTIFS(Cases!$A$7:$A$56,$A16,Cases!$D$7:$D$56,"&lt;&gt;")=1,IFERROR(INDEX(Cases!$D$7:$D$56,MATCH($A16,Cases!$A$7:$A$56,0)),""),"")))&gt;0,LEN(TRIM(IF(COUNTIFS(Cases!$A$7:$A$56,$A16,Cases!$E$7:$E$56,"&lt;&gt;")=1,IFERROR(INDEX(Cases!$E$7:$E$56,MATCH($A16,Cases!$A$7:$A$56,0)),""),"")))&gt;0,LEN(TRIM(IF(COUNTIFS(Cases!$A$7:$A$56,$A16,Cases!$F$7:$F$56,"&lt;&gt;")=1,IFERROR(INDEX(Cases!$F$7:$F$56,MATCH($A16,Cases!$A$7:$A$56,0)),""),"")))&gt;0,LEN(TRIM(IF(COUNTIFS(Cases!$A$7:$A$56,$A16,Cases!$H$7:$H$56,"&lt;&gt;")=1,IFERROR(INDEX(Cases!$H$7:$H$56,MATCH($A16,Cases!$A$7:$A$56,0)),""),"")))&gt;0,LEN(TRIM(IF(COUNTIFS(Cases!$A$7:$A$56,$A16,Cases!$I$7:$I$56,"&lt;&gt;")=1,IFERROR(INDEX(Cases!$I$7:$I$56,MATCH($A16,Cases!$A$7:$A$56,0)),""),"")))&gt;0),1,0)</f>
        <v>1</v>
      </c>
      <c r="E16" s="14">
        <f>IF(AND(AG16=1,IFERROR(INDEX(Current!$G$7:$G$56,MATCH($A16,Current!$A$7:$A$56,0)),"")="Ready"),1,0)</f>
        <v>1</v>
      </c>
      <c r="F16" s="14">
        <f>IF(AND(AG16=1,IFERROR(INDEX(Proposed!$H$7:$H$56,MATCH($A16,Proposed!$A$7:$A$56,0)),"")="Ready",OR(AP16&lt;&gt;"Retain",AND(IFERROR(INDEX(Current!$B$7:$B$56,MATCH($A16,Current!$A$7:$A$56,0)),"")=IFERROR(INDEX(Proposed!$B$7:$B$56,MATCH($A16,Proposed!$A$7:$A$56,0)),""),IFERROR(INDEX(Current!$C$7:$C$56,MATCH($A16,Current!$A$7:$A$56,0)),"")=IFERROR(INDEX(Proposed!$C$7:$C$56,MATCH($A16,Proposed!$A$7:$A$56,0)),""),IFERROR(INDEX(Current!$D$7:$D$56,MATCH($A16,Current!$A$7:$A$56,0)),"")=IFERROR(INDEX(Proposed!$D$7:$D$56,MATCH($A16,Proposed!$A$7:$A$56,0)),""),IFERROR(INDEX(Current!$E$7:$E$56,MATCH($A16,Current!$A$7:$A$56,0)),"")=IFERROR(INDEX(Proposed!$E$7:$E$56,MATCH($A16,Proposed!$A$7:$A$56,0)),"")))),1,0)</f>
        <v>1</v>
      </c>
      <c r="G16" s="14" t="str">
        <f>IF(COUNTIFS('Challenge Review'!$A$7:$A$56,$A16,'Challenge Review'!$K$7:$K$56,"&lt;&gt;")=1,IFERROR(INDEX('Challenge Review'!$K$7:$K$56,MATCH($A16,'Challenge Review'!$A$7:$A$56,0)),""),"")</f>
        <v>Unchecked</v>
      </c>
      <c r="H16" s="14">
        <f>IF(AND(AG16=1,IFERROR(INDEX('Review &amp; Decision'!$B$7:$B$56,MATCH($A16,'Review &amp; Decision'!$A$7:$A$56,0)),"")="Evidence-backed",OR(IFERROR(INDEX('Review &amp; Decision'!$C$7:$C$56,MATCH($A16,'Review &amp; Decision'!$A$7:$A$56,0)),"")="Equivalent or better",AND(IFERROR(INDEX('Review &amp; Decision'!$C$7:$C$56,MATCH($A16,'Review &amp; Decision'!$A$7:$A$56,0)),"")="Accepted reduction",COUNTIFS('Review &amp; Decision'!$A$7:$A$56,$A16,'Review &amp; Decision'!$L$7:$L$56,"&lt;&gt;")=1)),COUNTIFS('Review &amp; Decision'!$A$7:$A$56,$A16,'Review &amp; Decision'!$D$7:$D$56,"&lt;&gt;")=1,COUNTIFS('Review &amp; Decision'!$A$7:$A$56,$A16,'Review &amp; Decision'!$F$7:$F$56,"&lt;&gt;")=1,OR(IFERROR(INDEX('Review &amp; Decision'!$E$7:$E$56,MATCH($A16,'Review &amp; Decision'!$A$7:$A$56,0)),"")="Approved",IFERROR(INDEX('Review &amp; Decision'!$E$7:$E$56,MATCH($A16,'Review &amp; Decision'!$A$7:$A$56,0)),"")="Implemented"),ISNUMBER(IFERROR(INDEX('Review &amp; Decision'!$G$7:$G$56,MATCH($A16,'Review &amp; Decision'!$A$7:$A$56,0)),"")),IFERROR(INDEX('Review &amp; Decision'!$G$7:$G$56,MATCH($A16,'Review &amp; Decision'!$A$7:$A$56,0)),"")&gt;0,IFERROR(INDEX('Review &amp; Decision'!$G$7:$G$56,MATCH($A16,'Review &amp; Decision'!$A$7:$A$56,0)),"")&lt;=Settings!$B$7,ISNUMBER(IFERROR(INDEX('Review &amp; Decision'!$I$7:$I$56,MATCH($A16,'Review &amp; Decision'!$A$7:$A$56,0)),"")),IFERROR(INDEX('Review &amp; Decision'!$I$7:$I$56,MATCH($A16,'Review &amp; Decision'!$A$7:$A$56,0)),"")&gt;0,IFERROR(INDEX('Review &amp; Decision'!$I$7:$I$56,MATCH($A16,'Review &amp; Decision'!$A$7:$A$56,0)),"")&lt;=Settings!$B$7,IFERROR(INDEX('Review &amp; Decision'!$I$7:$I$56,MATCH($A16,'Review &amp; Decision'!$A$7:$A$56,0)),"")&gt;=IFERROR(INDEX('Review &amp; Decision'!$G$7:$G$56,MATCH($A16,'Review &amp; Decision'!$A$7:$A$56,0)),""),COUNTIFS('Review &amp; Decision'!$A$7:$A$56,$A16,'Review &amp; Decision'!$J$7:$J$56,"&lt;&gt;")=1,COUNTIFS('Review &amp; Decision'!$A$7:$A$56,$A16,'Review &amp; Decision'!$K$7:$K$56,"&lt;&gt;")=1,ISNUMBER(IFERROR(INDEX('Review &amp; Decision'!$J$7:$J$56,MATCH($A16,'Review &amp; Decision'!$A$7:$A$56,0)),"")),IFERROR(INDEX('Review &amp; Decision'!$J$7:$J$56,MATCH($A16,'Review &amp; Decision'!$A$7:$A$56,0)),"")&gt;=0,IFERROR(INDEX('Review &amp; Decision'!$J$7:$J$56,MATCH($A16,'Review &amp; Decision'!$A$7:$A$56,0)),"")&lt;=1,ISNUMBER(IFERROR(INDEX('Review &amp; Decision'!$K$7:$K$56,MATCH($A16,'Review &amp; Decision'!$A$7:$A$56,0)),"")),IFERROR(INDEX('Review &amp; Decision'!$K$7:$K$56,MATCH($A16,'Review &amp; Decision'!$A$7:$A$56,0)),"")&gt;=0,IFERROR(INDEX('Review &amp; Decision'!$K$7:$K$56,MATCH($A16,'Review &amp; Decision'!$A$7:$A$56,0)),"")&lt;=1,ISNUMBER(Settings!$B$7),Settings!$B$7&gt;0,OR(Settings!$B$8="Approved + measured",Settings!$B$8="Measured only"),LEN(TRIM(IF(COUNTIFS('Review &amp; Decision'!$A$7:$A$56,$A16,'Review &amp; Decision'!$D$7:$D$56,"&lt;&gt;")=1,IFERROR(INDEX('Review &amp; Decision'!$D$7:$D$56,MATCH($A16,'Review &amp; Decision'!$A$7:$A$56,0)),""),"")))&gt;0,LEN(TRIM(IF(COUNTIFS('Review &amp; Decision'!$A$7:$A$56,$A16,'Review &amp; Decision'!$F$7:$F$56,"&lt;&gt;")=1,IFERROR(INDEX('Review &amp; Decision'!$F$7:$F$56,MATCH($A16,'Review &amp; Decision'!$A$7:$A$56,0)),""),"")))&gt;0,OR(IFERROR(INDEX('Review &amp; Decision'!$C$7:$C$56,MATCH($A16,'Review &amp; Decision'!$A$7:$A$56,0)),"")&lt;&gt;"Accepted reduction",LEN(TRIM(IF(COUNTIFS('Review &amp; Decision'!$A$7:$A$56,$A16,'Review &amp; Decision'!$L$7:$L$56,"&lt;&gt;")=1,IFERROR(INDEX('Review &amp; Decision'!$L$7:$L$56,MATCH($A16,'Review &amp; Decision'!$A$7:$A$56,0)),""),"")))&gt;0)),1,0)</f>
        <v>0</v>
      </c>
      <c r="I16" s="14">
        <f>IF(AND(AG16=1,IFERROR(INDEX(Actuals!$M$7:$M$56,MATCH($A16,Actuals!$A$7:$A$56,0)),"")="Ready",IFERROR(INDEX(Actuals!$D$7:$D$56,MATCH($A16,Actuals!$A$7:$A$56,0)),"")&gt;=IFERROR(INDEX('Review &amp; Decision'!$I$7:$I$56,MATCH($A16,'Review &amp; Decision'!$A$7:$A$56,0)),"")),1,0)</f>
        <v>0</v>
      </c>
      <c r="J16" s="14" t="str">
        <f t="shared" si="0"/>
        <v>Example only — never in live planning</v>
      </c>
      <c r="K16" s="14">
        <f t="shared" si="1"/>
        <v>0</v>
      </c>
      <c r="L16" s="14">
        <f t="shared" si="2"/>
        <v>0</v>
      </c>
      <c r="M16" s="14">
        <f>IF(OR(L16=1,AND(K16=1,Settings!$B$8="Approved + measured")),1,0)</f>
        <v>0</v>
      </c>
      <c r="N16" s="14">
        <f>IF(E16=1,IFERROR(INDEX(Current!$H$7:$H$56,MATCH($A16,Current!$A$7:$A$56,0)),""),"")</f>
        <v>0</v>
      </c>
      <c r="O16" s="14">
        <f>IF(F16=1,IFERROR(INDEX(Proposed!$I$7:$I$56,MATCH($A16,Proposed!$A$7:$A$56,0)),""),"")</f>
        <v>0</v>
      </c>
      <c r="P16" s="14">
        <f t="shared" si="3"/>
        <v>0</v>
      </c>
      <c r="Q16" s="14">
        <f>IF(E16=1,IFERROR(INDEX(Current!$I$7:$I$56,MATCH($A16,Current!$A$7:$A$56,0)),""),"")</f>
        <v>300</v>
      </c>
      <c r="R16" s="14">
        <f>IF(F16=1,IFERROR(INDEX(Proposed!$J$7:$J$56,MATCH($A16,Proposed!$A$7:$A$56,0)),""),"")</f>
        <v>300</v>
      </c>
      <c r="S16" s="14">
        <f t="shared" si="4"/>
        <v>0</v>
      </c>
      <c r="T16" s="14">
        <f>IF(E16=1,IFERROR(INDEX(Current!$E$7:$E$56,MATCH($A16,Current!$A$7:$A$56,0)),""),"")</f>
        <v>90000</v>
      </c>
      <c r="U16" s="14">
        <f>IF(F16=1,IFERROR(INDEX(Proposed!$E$7:$E$56,MATCH($A16,Proposed!$A$7:$A$56,0)),""),"")</f>
        <v>90000</v>
      </c>
      <c r="V16" s="14">
        <f t="shared" si="5"/>
        <v>0</v>
      </c>
      <c r="W16" s="14">
        <f>IF(E16=1,IFERROR(INDEX(Current!$K$7:$K$56,MATCH($A16,Current!$A$7:$A$56,0)),""),"")</f>
        <v>112500</v>
      </c>
      <c r="X16" s="14">
        <f>IF(F16=1,IFERROR(INDEX(Proposed!$L$7:$L$56,MATCH($A16,Proposed!$A$7:$A$56,0)),""),"")</f>
        <v>112500</v>
      </c>
      <c r="Y16" s="14">
        <f t="shared" si="6"/>
        <v>0</v>
      </c>
      <c r="Z16" s="14">
        <f>IF(F16=1,IFERROR(INDEX(Proposed!$F$7:$F$56,MATCH($A16,Proposed!$A$7:$A$56,0)),""),"")</f>
        <v>0</v>
      </c>
      <c r="AA16" s="14">
        <f>IF(M16=1,IF(IF(L16=1,AL16,P16)&gt;0,IF(L16=1,AL16,P16)*IFERROR(INDEX('Review &amp; Decision'!$J$7:$J$56,MATCH($A16,'Review &amp; Decision'!$A$7:$A$56,0)),""),IF(L16=1,AL16,P16)),0)</f>
        <v>0</v>
      </c>
      <c r="AB16" s="14">
        <f>IF(M16=1,IF(IF(L16=1,AM16,S16)&gt;0,IF(L16=1,AM16,S16)*IFERROR(INDEX('Review &amp; Decision'!$K$7:$K$56,MATCH($A16,'Review &amp; Decision'!$A$7:$A$56,0)),""),IF(L16=1,AM16,S16)),0)</f>
        <v>0</v>
      </c>
      <c r="AC16" s="14">
        <f t="shared" si="7"/>
        <v>0</v>
      </c>
      <c r="AD16" s="14">
        <f t="shared" si="8"/>
        <v>0</v>
      </c>
      <c r="AE16" s="14">
        <f t="shared" si="9"/>
        <v>0</v>
      </c>
      <c r="AF16" s="14" t="str">
        <f t="shared" si="10"/>
        <v>No measurement warning</v>
      </c>
      <c r="AG16" s="14">
        <f>IF(AND(COUNTIF(Cases!$A$7:$A$56,$A16)=1,COUNTIF(Current!$A$7:$A$56,$A16)=1,COUNTIF(Proposed!$A$7:$A$56,$A16)=1,COUNTIF('Review &amp; Decision'!$A$7:$A$56,$A16)=1,COUNTIF('Challenge Review'!$A$7:$A$56,$A16)=1,COUNTIF(Actuals!$A$7:$A$56,$A16)=1,COUNTIF(Classification!$A$7:$A$56,$A16)=1),1,0)</f>
        <v>1</v>
      </c>
      <c r="AH16" s="14">
        <f t="shared" si="11"/>
        <v>1</v>
      </c>
      <c r="AI16" s="14" t="str">
        <f>IF(COUNTIFS('Review &amp; Decision'!$A$7:$A$56,$A16,'Review &amp; Decision'!$H$7:$H$56,"&lt;&gt;")=1,IFERROR(INDEX('Review &amp; Decision'!$H$7:$H$56,MATCH($A16,'Review &amp; Decision'!$A$7:$A$56,0)),""),"")</f>
        <v>Modeled</v>
      </c>
      <c r="AJ16" s="14" t="str">
        <f>IF(COUNTIFS('Review &amp; Decision'!$A$7:$A$56,$A16,'Review &amp; Decision'!$E$7:$E$56,"&lt;&gt;")=1,IFERROR(INDEX('Review &amp; Decision'!$E$7:$E$56,MATCH($A16,'Review &amp; Decision'!$A$7:$A$56,0)),""),"")</f>
        <v>Open</v>
      </c>
      <c r="AK16" s="14" t="str">
        <f>IF(COUNTIFS('Review &amp; Decision'!$A$7:$A$56,$A16,'Review &amp; Decision'!$B$7:$B$56,"&lt;&gt;")=1,IFERROR(INDEX('Review &amp; Decision'!$B$7:$B$56,MATCH($A16,'Review &amp; Decision'!$A$7:$A$56,0)),""),"")</f>
        <v>Hypothesis</v>
      </c>
      <c r="AL16" s="14" t="str">
        <f>IF(I16=1,IFERROR(INDEX(Actuals!$E$7:$E$56,MATCH($A16,Actuals!$A$7:$A$56,0)),""),"")</f>
        <v/>
      </c>
      <c r="AM16" s="14" t="str">
        <f>IF(I16=1,IFERROR(INDEX(Actuals!$F$7:$F$56,MATCH($A16,Actuals!$A$7:$A$56,0)),""),"")</f>
        <v/>
      </c>
      <c r="AN16" s="14" t="str">
        <f>IF(I16=1,IFERROR(INDEX(Actuals!$G$7:$G$56,MATCH($A16,Actuals!$A$7:$A$56,0)),""),"")</f>
        <v/>
      </c>
      <c r="AO16" s="14" t="str">
        <f>IF(I16=1,IFERROR(INDEX(Actuals!$G$7:$G$56,MATCH($A16,Actuals!$A$7:$A$56,0)),"")+IFERROR(INDEX(Actuals!$H$7:$H$56,MATCH($A16,Actuals!$A$7:$A$56,0)),""),"")</f>
        <v/>
      </c>
      <c r="AP16" s="14" t="str">
        <f>IF(COUNTIFS(Cases!$A$7:$A$56,$A16,Cases!$G$7:$G$56,"&lt;&gt;")=1,IFERROR(INDEX(Cases!$G$7:$G$56,MATCH($A16,Cases!$A$7:$A$56,0)),""),"")</f>
        <v>Retain</v>
      </c>
    </row>
    <row r="17" spans="1:42" ht="43.9" customHeight="1">
      <c r="A17" s="14" t="s">
        <v>105</v>
      </c>
      <c r="B17" s="14" t="str">
        <f>IF(COUNTIFS(Cases!$A$7:$A$56,$A17,Cases!$B$7:$B$56,"&lt;&gt;")=1,IFERROR(INDEX(Cases!$B$7:$B$56,MATCH($A17,Cases!$A$7:$A$56,0)),""),"")</f>
        <v>Example</v>
      </c>
      <c r="C17" s="14" t="str">
        <f>IF(COUNTIFS(Cases!$A$7:$A$56,$A17,Cases!$C$7:$C$56,"&lt;&gt;")=1,IFERROR(INDEX(Cases!$C$7:$C$56,MATCH($A17,Cases!$A$7:$A$56,0)),""),"")</f>
        <v>Critical-service recovery tests</v>
      </c>
      <c r="D17" s="14">
        <f>IF(AND(AG17=1,OR(B17="Example",B17="Live"),OR(AP17="Simplify",AP17="Replace",AP17="Reduce scope",AP17="Retire",AP17="Retain"),COUNTIFS(Cases!$A$7:$A$56,$A17,Cases!$C$7:$C$56,"&lt;&gt;")=1,COUNTIFS(Cases!$A$7:$A$56,$A17,Cases!$D$7:$D$56,"&lt;&gt;")=1,COUNTIFS(Cases!$A$7:$A$56,$A17,Cases!$E$7:$E$56,"&lt;&gt;")=1,COUNTIFS(Cases!$A$7:$A$56,$A17,Cases!$F$7:$F$56,"&lt;&gt;")=1,COUNTIFS(Cases!$A$7:$A$56,$A17,Cases!$H$7:$H$56,"&lt;&gt;")=1,COUNTIFS(Cases!$A$7:$A$56,$A17,Cases!$I$7:$I$56,"&lt;&gt;")=1,LEN(TRIM(IF(COUNTIFS(Cases!$A$7:$A$56,$A17,Cases!$C$7:$C$56,"&lt;&gt;")=1,IFERROR(INDEX(Cases!$C$7:$C$56,MATCH($A17,Cases!$A$7:$A$56,0)),""),"")))&gt;0,LEN(TRIM(IF(COUNTIFS(Cases!$A$7:$A$56,$A17,Cases!$D$7:$D$56,"&lt;&gt;")=1,IFERROR(INDEX(Cases!$D$7:$D$56,MATCH($A17,Cases!$A$7:$A$56,0)),""),"")))&gt;0,LEN(TRIM(IF(COUNTIFS(Cases!$A$7:$A$56,$A17,Cases!$E$7:$E$56,"&lt;&gt;")=1,IFERROR(INDEX(Cases!$E$7:$E$56,MATCH($A17,Cases!$A$7:$A$56,0)),""),"")))&gt;0,LEN(TRIM(IF(COUNTIFS(Cases!$A$7:$A$56,$A17,Cases!$F$7:$F$56,"&lt;&gt;")=1,IFERROR(INDEX(Cases!$F$7:$F$56,MATCH($A17,Cases!$A$7:$A$56,0)),""),"")))&gt;0,LEN(TRIM(IF(COUNTIFS(Cases!$A$7:$A$56,$A17,Cases!$H$7:$H$56,"&lt;&gt;")=1,IFERROR(INDEX(Cases!$H$7:$H$56,MATCH($A17,Cases!$A$7:$A$56,0)),""),"")))&gt;0,LEN(TRIM(IF(COUNTIFS(Cases!$A$7:$A$56,$A17,Cases!$I$7:$I$56,"&lt;&gt;")=1,IFERROR(INDEX(Cases!$I$7:$I$56,MATCH($A17,Cases!$A$7:$A$56,0)),""),"")))&gt;0),1,0)</f>
        <v>1</v>
      </c>
      <c r="E17" s="14">
        <f>IF(AND(AG17=1,IFERROR(INDEX(Current!$G$7:$G$56,MATCH($A17,Current!$A$7:$A$56,0)),"")="Ready"),1,0)</f>
        <v>1</v>
      </c>
      <c r="F17" s="14">
        <f>IF(AND(AG17=1,IFERROR(INDEX(Proposed!$H$7:$H$56,MATCH($A17,Proposed!$A$7:$A$56,0)),"")="Ready",OR(AP17&lt;&gt;"Retain",AND(IFERROR(INDEX(Current!$B$7:$B$56,MATCH($A17,Current!$A$7:$A$56,0)),"")=IFERROR(INDEX(Proposed!$B$7:$B$56,MATCH($A17,Proposed!$A$7:$A$56,0)),""),IFERROR(INDEX(Current!$C$7:$C$56,MATCH($A17,Current!$A$7:$A$56,0)),"")=IFERROR(INDEX(Proposed!$C$7:$C$56,MATCH($A17,Proposed!$A$7:$A$56,0)),""),IFERROR(INDEX(Current!$D$7:$D$56,MATCH($A17,Current!$A$7:$A$56,0)),"")=IFERROR(INDEX(Proposed!$D$7:$D$56,MATCH($A17,Proposed!$A$7:$A$56,0)),""),IFERROR(INDEX(Current!$E$7:$E$56,MATCH($A17,Current!$A$7:$A$56,0)),"")=IFERROR(INDEX(Proposed!$E$7:$E$56,MATCH($A17,Proposed!$A$7:$A$56,0)),"")))),1,0)</f>
        <v>1</v>
      </c>
      <c r="G17" s="14" t="str">
        <f>IF(COUNTIFS('Challenge Review'!$A$7:$A$56,$A17,'Challenge Review'!$K$7:$K$56,"&lt;&gt;")=1,IFERROR(INDEX('Challenge Review'!$K$7:$K$56,MATCH($A17,'Challenge Review'!$A$7:$A$56,0)),""),"")</f>
        <v>Unchecked</v>
      </c>
      <c r="H17" s="14">
        <f>IF(AND(AG17=1,IFERROR(INDEX('Review &amp; Decision'!$B$7:$B$56,MATCH($A17,'Review &amp; Decision'!$A$7:$A$56,0)),"")="Evidence-backed",OR(IFERROR(INDEX('Review &amp; Decision'!$C$7:$C$56,MATCH($A17,'Review &amp; Decision'!$A$7:$A$56,0)),"")="Equivalent or better",AND(IFERROR(INDEX('Review &amp; Decision'!$C$7:$C$56,MATCH($A17,'Review &amp; Decision'!$A$7:$A$56,0)),"")="Accepted reduction",COUNTIFS('Review &amp; Decision'!$A$7:$A$56,$A17,'Review &amp; Decision'!$L$7:$L$56,"&lt;&gt;")=1)),COUNTIFS('Review &amp; Decision'!$A$7:$A$56,$A17,'Review &amp; Decision'!$D$7:$D$56,"&lt;&gt;")=1,COUNTIFS('Review &amp; Decision'!$A$7:$A$56,$A17,'Review &amp; Decision'!$F$7:$F$56,"&lt;&gt;")=1,OR(IFERROR(INDEX('Review &amp; Decision'!$E$7:$E$56,MATCH($A17,'Review &amp; Decision'!$A$7:$A$56,0)),"")="Approved",IFERROR(INDEX('Review &amp; Decision'!$E$7:$E$56,MATCH($A17,'Review &amp; Decision'!$A$7:$A$56,0)),"")="Implemented"),ISNUMBER(IFERROR(INDEX('Review &amp; Decision'!$G$7:$G$56,MATCH($A17,'Review &amp; Decision'!$A$7:$A$56,0)),"")),IFERROR(INDEX('Review &amp; Decision'!$G$7:$G$56,MATCH($A17,'Review &amp; Decision'!$A$7:$A$56,0)),"")&gt;0,IFERROR(INDEX('Review &amp; Decision'!$G$7:$G$56,MATCH($A17,'Review &amp; Decision'!$A$7:$A$56,0)),"")&lt;=Settings!$B$7,ISNUMBER(IFERROR(INDEX('Review &amp; Decision'!$I$7:$I$56,MATCH($A17,'Review &amp; Decision'!$A$7:$A$56,0)),"")),IFERROR(INDEX('Review &amp; Decision'!$I$7:$I$56,MATCH($A17,'Review &amp; Decision'!$A$7:$A$56,0)),"")&gt;0,IFERROR(INDEX('Review &amp; Decision'!$I$7:$I$56,MATCH($A17,'Review &amp; Decision'!$A$7:$A$56,0)),"")&lt;=Settings!$B$7,IFERROR(INDEX('Review &amp; Decision'!$I$7:$I$56,MATCH($A17,'Review &amp; Decision'!$A$7:$A$56,0)),"")&gt;=IFERROR(INDEX('Review &amp; Decision'!$G$7:$G$56,MATCH($A17,'Review &amp; Decision'!$A$7:$A$56,0)),""),COUNTIFS('Review &amp; Decision'!$A$7:$A$56,$A17,'Review &amp; Decision'!$J$7:$J$56,"&lt;&gt;")=1,COUNTIFS('Review &amp; Decision'!$A$7:$A$56,$A17,'Review &amp; Decision'!$K$7:$K$56,"&lt;&gt;")=1,ISNUMBER(IFERROR(INDEX('Review &amp; Decision'!$J$7:$J$56,MATCH($A17,'Review &amp; Decision'!$A$7:$A$56,0)),"")),IFERROR(INDEX('Review &amp; Decision'!$J$7:$J$56,MATCH($A17,'Review &amp; Decision'!$A$7:$A$56,0)),"")&gt;=0,IFERROR(INDEX('Review &amp; Decision'!$J$7:$J$56,MATCH($A17,'Review &amp; Decision'!$A$7:$A$56,0)),"")&lt;=1,ISNUMBER(IFERROR(INDEX('Review &amp; Decision'!$K$7:$K$56,MATCH($A17,'Review &amp; Decision'!$A$7:$A$56,0)),"")),IFERROR(INDEX('Review &amp; Decision'!$K$7:$K$56,MATCH($A17,'Review &amp; Decision'!$A$7:$A$56,0)),"")&gt;=0,IFERROR(INDEX('Review &amp; Decision'!$K$7:$K$56,MATCH($A17,'Review &amp; Decision'!$A$7:$A$56,0)),"")&lt;=1,ISNUMBER(Settings!$B$7),Settings!$B$7&gt;0,OR(Settings!$B$8="Approved + measured",Settings!$B$8="Measured only"),LEN(TRIM(IF(COUNTIFS('Review &amp; Decision'!$A$7:$A$56,$A17,'Review &amp; Decision'!$D$7:$D$56,"&lt;&gt;")=1,IFERROR(INDEX('Review &amp; Decision'!$D$7:$D$56,MATCH($A17,'Review &amp; Decision'!$A$7:$A$56,0)),""),"")))&gt;0,LEN(TRIM(IF(COUNTIFS('Review &amp; Decision'!$A$7:$A$56,$A17,'Review &amp; Decision'!$F$7:$F$56,"&lt;&gt;")=1,IFERROR(INDEX('Review &amp; Decision'!$F$7:$F$56,MATCH($A17,'Review &amp; Decision'!$A$7:$A$56,0)),""),"")))&gt;0,OR(IFERROR(INDEX('Review &amp; Decision'!$C$7:$C$56,MATCH($A17,'Review &amp; Decision'!$A$7:$A$56,0)),"")&lt;&gt;"Accepted reduction",LEN(TRIM(IF(COUNTIFS('Review &amp; Decision'!$A$7:$A$56,$A17,'Review &amp; Decision'!$L$7:$L$56,"&lt;&gt;")=1,IFERROR(INDEX('Review &amp; Decision'!$L$7:$L$56,MATCH($A17,'Review &amp; Decision'!$A$7:$A$56,0)),""),"")))&gt;0)),1,0)</f>
        <v>0</v>
      </c>
      <c r="I17" s="14">
        <f>IF(AND(AG17=1,IFERROR(INDEX(Actuals!$M$7:$M$56,MATCH($A17,Actuals!$A$7:$A$56,0)),"")="Ready",IFERROR(INDEX(Actuals!$D$7:$D$56,MATCH($A17,Actuals!$A$7:$A$56,0)),"")&gt;=IFERROR(INDEX('Review &amp; Decision'!$I$7:$I$56,MATCH($A17,'Review &amp; Decision'!$A$7:$A$56,0)),"")),1,0)</f>
        <v>0</v>
      </c>
      <c r="J17" s="14" t="str">
        <f t="shared" si="0"/>
        <v>Example only — never in live planning</v>
      </c>
      <c r="K17" s="14">
        <f t="shared" si="1"/>
        <v>0</v>
      </c>
      <c r="L17" s="14">
        <f t="shared" si="2"/>
        <v>0</v>
      </c>
      <c r="M17" s="14">
        <f>IF(OR(L17=1,AND(K17=1,Settings!$B$8="Approved + measured")),1,0)</f>
        <v>0</v>
      </c>
      <c r="N17" s="14">
        <f>IF(E17=1,IFERROR(INDEX(Current!$H$7:$H$56,MATCH($A17,Current!$A$7:$A$56,0)),""),"")</f>
        <v>0</v>
      </c>
      <c r="O17" s="14">
        <f>IF(F17=1,IFERROR(INDEX(Proposed!$I$7:$I$56,MATCH($A17,Proposed!$A$7:$A$56,0)),""),"")</f>
        <v>0</v>
      </c>
      <c r="P17" s="14">
        <f t="shared" si="3"/>
        <v>0</v>
      </c>
      <c r="Q17" s="14">
        <f>IF(E17=1,IFERROR(INDEX(Current!$I$7:$I$56,MATCH($A17,Current!$A$7:$A$56,0)),""),"")</f>
        <v>120</v>
      </c>
      <c r="R17" s="14">
        <f>IF(F17=1,IFERROR(INDEX(Proposed!$J$7:$J$56,MATCH($A17,Proposed!$A$7:$A$56,0)),""),"")</f>
        <v>120</v>
      </c>
      <c r="S17" s="14">
        <f t="shared" si="4"/>
        <v>0</v>
      </c>
      <c r="T17" s="14">
        <f>IF(E17=1,IFERROR(INDEX(Current!$E$7:$E$56,MATCH($A17,Current!$A$7:$A$56,0)),""),"")</f>
        <v>0</v>
      </c>
      <c r="U17" s="14">
        <f>IF(F17=1,IFERROR(INDEX(Proposed!$E$7:$E$56,MATCH($A17,Proposed!$A$7:$A$56,0)),""),"")</f>
        <v>0</v>
      </c>
      <c r="V17" s="14">
        <f t="shared" si="5"/>
        <v>0</v>
      </c>
      <c r="W17" s="14">
        <f>IF(E17=1,IFERROR(INDEX(Current!$K$7:$K$56,MATCH($A17,Current!$A$7:$A$56,0)),""),"")</f>
        <v>9000</v>
      </c>
      <c r="X17" s="14">
        <f>IF(F17=1,IFERROR(INDEX(Proposed!$L$7:$L$56,MATCH($A17,Proposed!$A$7:$A$56,0)),""),"")</f>
        <v>9000</v>
      </c>
      <c r="Y17" s="14">
        <f t="shared" si="6"/>
        <v>0</v>
      </c>
      <c r="Z17" s="14">
        <f>IF(F17=1,IFERROR(INDEX(Proposed!$F$7:$F$56,MATCH($A17,Proposed!$A$7:$A$56,0)),""),"")</f>
        <v>0</v>
      </c>
      <c r="AA17" s="14">
        <f>IF(M17=1,IF(IF(L17=1,AL17,P17)&gt;0,IF(L17=1,AL17,P17)*IFERROR(INDEX('Review &amp; Decision'!$J$7:$J$56,MATCH($A17,'Review &amp; Decision'!$A$7:$A$56,0)),""),IF(L17=1,AL17,P17)),0)</f>
        <v>0</v>
      </c>
      <c r="AB17" s="14">
        <f>IF(M17=1,IF(IF(L17=1,AM17,S17)&gt;0,IF(L17=1,AM17,S17)*IFERROR(INDEX('Review &amp; Decision'!$K$7:$K$56,MATCH($A17,'Review &amp; Decision'!$A$7:$A$56,0)),""),IF(L17=1,AM17,S17)),0)</f>
        <v>0</v>
      </c>
      <c r="AC17" s="14">
        <f t="shared" si="7"/>
        <v>0</v>
      </c>
      <c r="AD17" s="14">
        <f t="shared" si="8"/>
        <v>0</v>
      </c>
      <c r="AE17" s="14">
        <f t="shared" si="9"/>
        <v>0</v>
      </c>
      <c r="AF17" s="14" t="str">
        <f t="shared" si="10"/>
        <v>No measurement warning</v>
      </c>
      <c r="AG17" s="14">
        <f>IF(AND(COUNTIF(Cases!$A$7:$A$56,$A17)=1,COUNTIF(Current!$A$7:$A$56,$A17)=1,COUNTIF(Proposed!$A$7:$A$56,$A17)=1,COUNTIF('Review &amp; Decision'!$A$7:$A$56,$A17)=1,COUNTIF('Challenge Review'!$A$7:$A$56,$A17)=1,COUNTIF(Actuals!$A$7:$A$56,$A17)=1,COUNTIF(Classification!$A$7:$A$56,$A17)=1),1,0)</f>
        <v>1</v>
      </c>
      <c r="AH17" s="14">
        <f t="shared" si="11"/>
        <v>1</v>
      </c>
      <c r="AI17" s="14" t="str">
        <f>IF(COUNTIFS('Review &amp; Decision'!$A$7:$A$56,$A17,'Review &amp; Decision'!$H$7:$H$56,"&lt;&gt;")=1,IFERROR(INDEX('Review &amp; Decision'!$H$7:$H$56,MATCH($A17,'Review &amp; Decision'!$A$7:$A$56,0)),""),"")</f>
        <v>Modeled</v>
      </c>
      <c r="AJ17" s="14" t="str">
        <f>IF(COUNTIFS('Review &amp; Decision'!$A$7:$A$56,$A17,'Review &amp; Decision'!$E$7:$E$56,"&lt;&gt;")=1,IFERROR(INDEX('Review &amp; Decision'!$E$7:$E$56,MATCH($A17,'Review &amp; Decision'!$A$7:$A$56,0)),""),"")</f>
        <v>Open</v>
      </c>
      <c r="AK17" s="14" t="str">
        <f>IF(COUNTIFS('Review &amp; Decision'!$A$7:$A$56,$A17,'Review &amp; Decision'!$B$7:$B$56,"&lt;&gt;")=1,IFERROR(INDEX('Review &amp; Decision'!$B$7:$B$56,MATCH($A17,'Review &amp; Decision'!$A$7:$A$56,0)),""),"")</f>
        <v>Hypothesis</v>
      </c>
      <c r="AL17" s="14" t="str">
        <f>IF(I17=1,IFERROR(INDEX(Actuals!$E$7:$E$56,MATCH($A17,Actuals!$A$7:$A$56,0)),""),"")</f>
        <v/>
      </c>
      <c r="AM17" s="14" t="str">
        <f>IF(I17=1,IFERROR(INDEX(Actuals!$F$7:$F$56,MATCH($A17,Actuals!$A$7:$A$56,0)),""),"")</f>
        <v/>
      </c>
      <c r="AN17" s="14" t="str">
        <f>IF(I17=1,IFERROR(INDEX(Actuals!$G$7:$G$56,MATCH($A17,Actuals!$A$7:$A$56,0)),""),"")</f>
        <v/>
      </c>
      <c r="AO17" s="14" t="str">
        <f>IF(I17=1,IFERROR(INDEX(Actuals!$G$7:$G$56,MATCH($A17,Actuals!$A$7:$A$56,0)),"")+IFERROR(INDEX(Actuals!$H$7:$H$56,MATCH($A17,Actuals!$A$7:$A$56,0)),""),"")</f>
        <v/>
      </c>
      <c r="AP17" s="14" t="str">
        <f>IF(COUNTIFS(Cases!$A$7:$A$56,$A17,Cases!$G$7:$G$56,"&lt;&gt;")=1,IFERROR(INDEX(Cases!$G$7:$G$56,MATCH($A17,Cases!$A$7:$A$56,0)),""),"")</f>
        <v>Retain</v>
      </c>
    </row>
    <row r="18" spans="1:42" ht="43.9" customHeight="1">
      <c r="A18" s="14" t="s">
        <v>108</v>
      </c>
      <c r="B18" s="14" t="str">
        <f>IF(COUNTIFS(Cases!$A$7:$A$56,$A18,Cases!$B$7:$B$56,"&lt;&gt;")=1,IFERROR(INDEX(Cases!$B$7:$B$56,MATCH($A18,Cases!$A$7:$A$56,0)),""),"")</f>
        <v>Inactive</v>
      </c>
      <c r="C18" s="14" t="str">
        <f>IF(COUNTIFS(Cases!$A$7:$A$56,$A18,Cases!$C$7:$C$56,"&lt;&gt;")=1,IFERROR(INDEX(Cases!$C$7:$C$56,MATCH($A18,Cases!$A$7:$A$56,0)),""),"")</f>
        <v/>
      </c>
      <c r="D18" s="14">
        <f>IF(AND(AG18=1,OR(B18="Example",B18="Live"),OR(AP18="Simplify",AP18="Replace",AP18="Reduce scope",AP18="Retire",AP18="Retain"),COUNTIFS(Cases!$A$7:$A$56,$A18,Cases!$C$7:$C$56,"&lt;&gt;")=1,COUNTIFS(Cases!$A$7:$A$56,$A18,Cases!$D$7:$D$56,"&lt;&gt;")=1,COUNTIFS(Cases!$A$7:$A$56,$A18,Cases!$E$7:$E$56,"&lt;&gt;")=1,COUNTIFS(Cases!$A$7:$A$56,$A18,Cases!$F$7:$F$56,"&lt;&gt;")=1,COUNTIFS(Cases!$A$7:$A$56,$A18,Cases!$H$7:$H$56,"&lt;&gt;")=1,COUNTIFS(Cases!$A$7:$A$56,$A18,Cases!$I$7:$I$56,"&lt;&gt;")=1,LEN(TRIM(IF(COUNTIFS(Cases!$A$7:$A$56,$A18,Cases!$C$7:$C$56,"&lt;&gt;")=1,IFERROR(INDEX(Cases!$C$7:$C$56,MATCH($A18,Cases!$A$7:$A$56,0)),""),"")))&gt;0,LEN(TRIM(IF(COUNTIFS(Cases!$A$7:$A$56,$A18,Cases!$D$7:$D$56,"&lt;&gt;")=1,IFERROR(INDEX(Cases!$D$7:$D$56,MATCH($A18,Cases!$A$7:$A$56,0)),""),"")))&gt;0,LEN(TRIM(IF(COUNTIFS(Cases!$A$7:$A$56,$A18,Cases!$E$7:$E$56,"&lt;&gt;")=1,IFERROR(INDEX(Cases!$E$7:$E$56,MATCH($A18,Cases!$A$7:$A$56,0)),""),"")))&gt;0,LEN(TRIM(IF(COUNTIFS(Cases!$A$7:$A$56,$A18,Cases!$F$7:$F$56,"&lt;&gt;")=1,IFERROR(INDEX(Cases!$F$7:$F$56,MATCH($A18,Cases!$A$7:$A$56,0)),""),"")))&gt;0,LEN(TRIM(IF(COUNTIFS(Cases!$A$7:$A$56,$A18,Cases!$H$7:$H$56,"&lt;&gt;")=1,IFERROR(INDEX(Cases!$H$7:$H$56,MATCH($A18,Cases!$A$7:$A$56,0)),""),"")))&gt;0,LEN(TRIM(IF(COUNTIFS(Cases!$A$7:$A$56,$A18,Cases!$I$7:$I$56,"&lt;&gt;")=1,IFERROR(INDEX(Cases!$I$7:$I$56,MATCH($A18,Cases!$A$7:$A$56,0)),""),"")))&gt;0),1,0)</f>
        <v>0</v>
      </c>
      <c r="E18" s="14">
        <f>IF(AND(AG18=1,IFERROR(INDEX(Current!$G$7:$G$56,MATCH($A18,Current!$A$7:$A$56,0)),"")="Ready"),1,0)</f>
        <v>0</v>
      </c>
      <c r="F18" s="14">
        <f>IF(AND(AG18=1,IFERROR(INDEX(Proposed!$H$7:$H$56,MATCH($A18,Proposed!$A$7:$A$56,0)),"")="Ready",OR(AP18&lt;&gt;"Retain",AND(IFERROR(INDEX(Current!$B$7:$B$56,MATCH($A18,Current!$A$7:$A$56,0)),"")=IFERROR(INDEX(Proposed!$B$7:$B$56,MATCH($A18,Proposed!$A$7:$A$56,0)),""),IFERROR(INDEX(Current!$C$7:$C$56,MATCH($A18,Current!$A$7:$A$56,0)),"")=IFERROR(INDEX(Proposed!$C$7:$C$56,MATCH($A18,Proposed!$A$7:$A$56,0)),""),IFERROR(INDEX(Current!$D$7:$D$56,MATCH($A18,Current!$A$7:$A$56,0)),"")=IFERROR(INDEX(Proposed!$D$7:$D$56,MATCH($A18,Proposed!$A$7:$A$56,0)),""),IFERROR(INDEX(Current!$E$7:$E$56,MATCH($A18,Current!$A$7:$A$56,0)),"")=IFERROR(INDEX(Proposed!$E$7:$E$56,MATCH($A18,Proposed!$A$7:$A$56,0)),"")))),1,0)</f>
        <v>0</v>
      </c>
      <c r="G18" s="14" t="str">
        <f>IF(COUNTIFS('Challenge Review'!$A$7:$A$56,$A18,'Challenge Review'!$K$7:$K$56,"&lt;&gt;")=1,IFERROR(INDEX('Challenge Review'!$K$7:$K$56,MATCH($A18,'Challenge Review'!$A$7:$A$56,0)),""),"")</f>
        <v>Unchecked</v>
      </c>
      <c r="H18" s="14">
        <f>IF(AND(AG18=1,IFERROR(INDEX('Review &amp; Decision'!$B$7:$B$56,MATCH($A18,'Review &amp; Decision'!$A$7:$A$56,0)),"")="Evidence-backed",OR(IFERROR(INDEX('Review &amp; Decision'!$C$7:$C$56,MATCH($A18,'Review &amp; Decision'!$A$7:$A$56,0)),"")="Equivalent or better",AND(IFERROR(INDEX('Review &amp; Decision'!$C$7:$C$56,MATCH($A18,'Review &amp; Decision'!$A$7:$A$56,0)),"")="Accepted reduction",COUNTIFS('Review &amp; Decision'!$A$7:$A$56,$A18,'Review &amp; Decision'!$L$7:$L$56,"&lt;&gt;")=1)),COUNTIFS('Review &amp; Decision'!$A$7:$A$56,$A18,'Review &amp; Decision'!$D$7:$D$56,"&lt;&gt;")=1,COUNTIFS('Review &amp; Decision'!$A$7:$A$56,$A18,'Review &amp; Decision'!$F$7:$F$56,"&lt;&gt;")=1,OR(IFERROR(INDEX('Review &amp; Decision'!$E$7:$E$56,MATCH($A18,'Review &amp; Decision'!$A$7:$A$56,0)),"")="Approved",IFERROR(INDEX('Review &amp; Decision'!$E$7:$E$56,MATCH($A18,'Review &amp; Decision'!$A$7:$A$56,0)),"")="Implemented"),ISNUMBER(IFERROR(INDEX('Review &amp; Decision'!$G$7:$G$56,MATCH($A18,'Review &amp; Decision'!$A$7:$A$56,0)),"")),IFERROR(INDEX('Review &amp; Decision'!$G$7:$G$56,MATCH($A18,'Review &amp; Decision'!$A$7:$A$56,0)),"")&gt;0,IFERROR(INDEX('Review &amp; Decision'!$G$7:$G$56,MATCH($A18,'Review &amp; Decision'!$A$7:$A$56,0)),"")&lt;=Settings!$B$7,ISNUMBER(IFERROR(INDEX('Review &amp; Decision'!$I$7:$I$56,MATCH($A18,'Review &amp; Decision'!$A$7:$A$56,0)),"")),IFERROR(INDEX('Review &amp; Decision'!$I$7:$I$56,MATCH($A18,'Review &amp; Decision'!$A$7:$A$56,0)),"")&gt;0,IFERROR(INDEX('Review &amp; Decision'!$I$7:$I$56,MATCH($A18,'Review &amp; Decision'!$A$7:$A$56,0)),"")&lt;=Settings!$B$7,IFERROR(INDEX('Review &amp; Decision'!$I$7:$I$56,MATCH($A18,'Review &amp; Decision'!$A$7:$A$56,0)),"")&gt;=IFERROR(INDEX('Review &amp; Decision'!$G$7:$G$56,MATCH($A18,'Review &amp; Decision'!$A$7:$A$56,0)),""),COUNTIFS('Review &amp; Decision'!$A$7:$A$56,$A18,'Review &amp; Decision'!$J$7:$J$56,"&lt;&gt;")=1,COUNTIFS('Review &amp; Decision'!$A$7:$A$56,$A18,'Review &amp; Decision'!$K$7:$K$56,"&lt;&gt;")=1,ISNUMBER(IFERROR(INDEX('Review &amp; Decision'!$J$7:$J$56,MATCH($A18,'Review &amp; Decision'!$A$7:$A$56,0)),"")),IFERROR(INDEX('Review &amp; Decision'!$J$7:$J$56,MATCH($A18,'Review &amp; Decision'!$A$7:$A$56,0)),"")&gt;=0,IFERROR(INDEX('Review &amp; Decision'!$J$7:$J$56,MATCH($A18,'Review &amp; Decision'!$A$7:$A$56,0)),"")&lt;=1,ISNUMBER(IFERROR(INDEX('Review &amp; Decision'!$K$7:$K$56,MATCH($A18,'Review &amp; Decision'!$A$7:$A$56,0)),"")),IFERROR(INDEX('Review &amp; Decision'!$K$7:$K$56,MATCH($A18,'Review &amp; Decision'!$A$7:$A$56,0)),"")&gt;=0,IFERROR(INDEX('Review &amp; Decision'!$K$7:$K$56,MATCH($A18,'Review &amp; Decision'!$A$7:$A$56,0)),"")&lt;=1,ISNUMBER(Settings!$B$7),Settings!$B$7&gt;0,OR(Settings!$B$8="Approved + measured",Settings!$B$8="Measured only"),LEN(TRIM(IF(COUNTIFS('Review &amp; Decision'!$A$7:$A$56,$A18,'Review &amp; Decision'!$D$7:$D$56,"&lt;&gt;")=1,IFERROR(INDEX('Review &amp; Decision'!$D$7:$D$56,MATCH($A18,'Review &amp; Decision'!$A$7:$A$56,0)),""),"")))&gt;0,LEN(TRIM(IF(COUNTIFS('Review &amp; Decision'!$A$7:$A$56,$A18,'Review &amp; Decision'!$F$7:$F$56,"&lt;&gt;")=1,IFERROR(INDEX('Review &amp; Decision'!$F$7:$F$56,MATCH($A18,'Review &amp; Decision'!$A$7:$A$56,0)),""),"")))&gt;0,OR(IFERROR(INDEX('Review &amp; Decision'!$C$7:$C$56,MATCH($A18,'Review &amp; Decision'!$A$7:$A$56,0)),"")&lt;&gt;"Accepted reduction",LEN(TRIM(IF(COUNTIFS('Review &amp; Decision'!$A$7:$A$56,$A18,'Review &amp; Decision'!$L$7:$L$56,"&lt;&gt;")=1,IFERROR(INDEX('Review &amp; Decision'!$L$7:$L$56,MATCH($A18,'Review &amp; Decision'!$A$7:$A$56,0)),""),"")))&gt;0)),1,0)</f>
        <v>0</v>
      </c>
      <c r="I18" s="14">
        <f>IF(AND(AG18=1,IFERROR(INDEX(Actuals!$M$7:$M$56,MATCH($A18,Actuals!$A$7:$A$56,0)),"")="Ready",IFERROR(INDEX(Actuals!$D$7:$D$56,MATCH($A18,Actuals!$A$7:$A$56,0)),"")&gt;=IFERROR(INDEX('Review &amp; Decision'!$I$7:$I$56,MATCH($A18,'Review &amp; Decision'!$A$7:$A$56,0)),"")),1,0)</f>
        <v>0</v>
      </c>
      <c r="J18" s="14" t="str">
        <f t="shared" si="0"/>
        <v>Unused slot</v>
      </c>
      <c r="K18" s="14">
        <f t="shared" si="1"/>
        <v>0</v>
      </c>
      <c r="L18" s="14">
        <f t="shared" si="2"/>
        <v>0</v>
      </c>
      <c r="M18" s="14">
        <f>IF(OR(L18=1,AND(K18=1,Settings!$B$8="Approved + measured")),1,0)</f>
        <v>0</v>
      </c>
      <c r="N18" s="14" t="str">
        <f>IF(E18=1,IFERROR(INDEX(Current!$H$7:$H$56,MATCH($A18,Current!$A$7:$A$56,0)),""),"")</f>
        <v/>
      </c>
      <c r="O18" s="14" t="str">
        <f>IF(F18=1,IFERROR(INDEX(Proposed!$I$7:$I$56,MATCH($A18,Proposed!$A$7:$A$56,0)),""),"")</f>
        <v/>
      </c>
      <c r="P18" s="14" t="str">
        <f t="shared" si="3"/>
        <v/>
      </c>
      <c r="Q18" s="14" t="str">
        <f>IF(E18=1,IFERROR(INDEX(Current!$I$7:$I$56,MATCH($A18,Current!$A$7:$A$56,0)),""),"")</f>
        <v/>
      </c>
      <c r="R18" s="14" t="str">
        <f>IF(F18=1,IFERROR(INDEX(Proposed!$J$7:$J$56,MATCH($A18,Proposed!$A$7:$A$56,0)),""),"")</f>
        <v/>
      </c>
      <c r="S18" s="14" t="str">
        <f t="shared" si="4"/>
        <v/>
      </c>
      <c r="T18" s="14" t="str">
        <f>IF(E18=1,IFERROR(INDEX(Current!$E$7:$E$56,MATCH($A18,Current!$A$7:$A$56,0)),""),"")</f>
        <v/>
      </c>
      <c r="U18" s="14" t="str">
        <f>IF(F18=1,IFERROR(INDEX(Proposed!$E$7:$E$56,MATCH($A18,Proposed!$A$7:$A$56,0)),""),"")</f>
        <v/>
      </c>
      <c r="V18" s="14" t="str">
        <f t="shared" si="5"/>
        <v/>
      </c>
      <c r="W18" s="14" t="str">
        <f>IF(E18=1,IFERROR(INDEX(Current!$K$7:$K$56,MATCH($A18,Current!$A$7:$A$56,0)),""),"")</f>
        <v/>
      </c>
      <c r="X18" s="14" t="str">
        <f>IF(F18=1,IFERROR(INDEX(Proposed!$L$7:$L$56,MATCH($A18,Proposed!$A$7:$A$56,0)),""),"")</f>
        <v/>
      </c>
      <c r="Y18" s="14" t="str">
        <f t="shared" si="6"/>
        <v/>
      </c>
      <c r="Z18" s="14" t="str">
        <f>IF(F18=1,IFERROR(INDEX(Proposed!$F$7:$F$56,MATCH($A18,Proposed!$A$7:$A$56,0)),""),"")</f>
        <v/>
      </c>
      <c r="AA18" s="14">
        <f>IF(M18=1,IF(IF(L18=1,AL18,P18)&gt;0,IF(L18=1,AL18,P18)*IFERROR(INDEX('Review &amp; Decision'!$J$7:$J$56,MATCH($A18,'Review &amp; Decision'!$A$7:$A$56,0)),""),IF(L18=1,AL18,P18)),0)</f>
        <v>0</v>
      </c>
      <c r="AB18" s="14">
        <f>IF(M18=1,IF(IF(L18=1,AM18,S18)&gt;0,IF(L18=1,AM18,S18)*IFERROR(INDEX('Review &amp; Decision'!$K$7:$K$56,MATCH($A18,'Review &amp; Decision'!$A$7:$A$56,0)),""),IF(L18=1,AM18,S18)),0)</f>
        <v>0</v>
      </c>
      <c r="AC18" s="14">
        <f t="shared" si="7"/>
        <v>0</v>
      </c>
      <c r="AD18" s="14">
        <f t="shared" si="8"/>
        <v>0</v>
      </c>
      <c r="AE18" s="14">
        <f t="shared" si="9"/>
        <v>0</v>
      </c>
      <c r="AF18" s="14" t="str">
        <f t="shared" si="10"/>
        <v>No measurement warning</v>
      </c>
      <c r="AG18" s="14">
        <f>IF(AND(COUNTIF(Cases!$A$7:$A$56,$A18)=1,COUNTIF(Current!$A$7:$A$56,$A18)=1,COUNTIF(Proposed!$A$7:$A$56,$A18)=1,COUNTIF('Review &amp; Decision'!$A$7:$A$56,$A18)=1,COUNTIF('Challenge Review'!$A$7:$A$56,$A18)=1,COUNTIF(Actuals!$A$7:$A$56,$A18)=1,COUNTIF(Classification!$A$7:$A$56,$A18)=1),1,0)</f>
        <v>1</v>
      </c>
      <c r="AH18" s="14">
        <f t="shared" si="11"/>
        <v>0</v>
      </c>
      <c r="AI18" s="14" t="str">
        <f>IF(COUNTIFS('Review &amp; Decision'!$A$7:$A$56,$A18,'Review &amp; Decision'!$H$7:$H$56,"&lt;&gt;")=1,IFERROR(INDEX('Review &amp; Decision'!$H$7:$H$56,MATCH($A18,'Review &amp; Decision'!$A$7:$A$56,0)),""),"")</f>
        <v/>
      </c>
      <c r="AJ18" s="14" t="str">
        <f>IF(COUNTIFS('Review &amp; Decision'!$A$7:$A$56,$A18,'Review &amp; Decision'!$E$7:$E$56,"&lt;&gt;")=1,IFERROR(INDEX('Review &amp; Decision'!$E$7:$E$56,MATCH($A18,'Review &amp; Decision'!$A$7:$A$56,0)),""),"")</f>
        <v/>
      </c>
      <c r="AK18" s="14" t="str">
        <f>IF(COUNTIFS('Review &amp; Decision'!$A$7:$A$56,$A18,'Review &amp; Decision'!$B$7:$B$56,"&lt;&gt;")=1,IFERROR(INDEX('Review &amp; Decision'!$B$7:$B$56,MATCH($A18,'Review &amp; Decision'!$A$7:$A$56,0)),""),"")</f>
        <v/>
      </c>
      <c r="AL18" s="14" t="str">
        <f>IF(I18=1,IFERROR(INDEX(Actuals!$E$7:$E$56,MATCH($A18,Actuals!$A$7:$A$56,0)),""),"")</f>
        <v/>
      </c>
      <c r="AM18" s="14" t="str">
        <f>IF(I18=1,IFERROR(INDEX(Actuals!$F$7:$F$56,MATCH($A18,Actuals!$A$7:$A$56,0)),""),"")</f>
        <v/>
      </c>
      <c r="AN18" s="14" t="str">
        <f>IF(I18=1,IFERROR(INDEX(Actuals!$G$7:$G$56,MATCH($A18,Actuals!$A$7:$A$56,0)),""),"")</f>
        <v/>
      </c>
      <c r="AO18" s="14" t="str">
        <f>IF(I18=1,IFERROR(INDEX(Actuals!$G$7:$G$56,MATCH($A18,Actuals!$A$7:$A$56,0)),"")+IFERROR(INDEX(Actuals!$H$7:$H$56,MATCH($A18,Actuals!$A$7:$A$56,0)),""),"")</f>
        <v/>
      </c>
      <c r="AP18" s="14" t="str">
        <f>IF(COUNTIFS(Cases!$A$7:$A$56,$A18,Cases!$G$7:$G$56,"&lt;&gt;")=1,IFERROR(INDEX(Cases!$G$7:$G$56,MATCH($A18,Cases!$A$7:$A$56,0)),""),"")</f>
        <v/>
      </c>
    </row>
    <row r="19" spans="1:42" ht="43.9" customHeight="1">
      <c r="A19" s="14" t="s">
        <v>110</v>
      </c>
      <c r="B19" s="14" t="str">
        <f>IF(COUNTIFS(Cases!$A$7:$A$56,$A19,Cases!$B$7:$B$56,"&lt;&gt;")=1,IFERROR(INDEX(Cases!$B$7:$B$56,MATCH($A19,Cases!$A$7:$A$56,0)),""),"")</f>
        <v>Inactive</v>
      </c>
      <c r="C19" s="14" t="str">
        <f>IF(COUNTIFS(Cases!$A$7:$A$56,$A19,Cases!$C$7:$C$56,"&lt;&gt;")=1,IFERROR(INDEX(Cases!$C$7:$C$56,MATCH($A19,Cases!$A$7:$A$56,0)),""),"")</f>
        <v/>
      </c>
      <c r="D19" s="14">
        <f>IF(AND(AG19=1,OR(B19="Example",B19="Live"),OR(AP19="Simplify",AP19="Replace",AP19="Reduce scope",AP19="Retire",AP19="Retain"),COUNTIFS(Cases!$A$7:$A$56,$A19,Cases!$C$7:$C$56,"&lt;&gt;")=1,COUNTIFS(Cases!$A$7:$A$56,$A19,Cases!$D$7:$D$56,"&lt;&gt;")=1,COUNTIFS(Cases!$A$7:$A$56,$A19,Cases!$E$7:$E$56,"&lt;&gt;")=1,COUNTIFS(Cases!$A$7:$A$56,$A19,Cases!$F$7:$F$56,"&lt;&gt;")=1,COUNTIFS(Cases!$A$7:$A$56,$A19,Cases!$H$7:$H$56,"&lt;&gt;")=1,COUNTIFS(Cases!$A$7:$A$56,$A19,Cases!$I$7:$I$56,"&lt;&gt;")=1,LEN(TRIM(IF(COUNTIFS(Cases!$A$7:$A$56,$A19,Cases!$C$7:$C$56,"&lt;&gt;")=1,IFERROR(INDEX(Cases!$C$7:$C$56,MATCH($A19,Cases!$A$7:$A$56,0)),""),"")))&gt;0,LEN(TRIM(IF(COUNTIFS(Cases!$A$7:$A$56,$A19,Cases!$D$7:$D$56,"&lt;&gt;")=1,IFERROR(INDEX(Cases!$D$7:$D$56,MATCH($A19,Cases!$A$7:$A$56,0)),""),"")))&gt;0,LEN(TRIM(IF(COUNTIFS(Cases!$A$7:$A$56,$A19,Cases!$E$7:$E$56,"&lt;&gt;")=1,IFERROR(INDEX(Cases!$E$7:$E$56,MATCH($A19,Cases!$A$7:$A$56,0)),""),"")))&gt;0,LEN(TRIM(IF(COUNTIFS(Cases!$A$7:$A$56,$A19,Cases!$F$7:$F$56,"&lt;&gt;")=1,IFERROR(INDEX(Cases!$F$7:$F$56,MATCH($A19,Cases!$A$7:$A$56,0)),""),"")))&gt;0,LEN(TRIM(IF(COUNTIFS(Cases!$A$7:$A$56,$A19,Cases!$H$7:$H$56,"&lt;&gt;")=1,IFERROR(INDEX(Cases!$H$7:$H$56,MATCH($A19,Cases!$A$7:$A$56,0)),""),"")))&gt;0,LEN(TRIM(IF(COUNTIFS(Cases!$A$7:$A$56,$A19,Cases!$I$7:$I$56,"&lt;&gt;")=1,IFERROR(INDEX(Cases!$I$7:$I$56,MATCH($A19,Cases!$A$7:$A$56,0)),""),"")))&gt;0),1,0)</f>
        <v>0</v>
      </c>
      <c r="E19" s="14">
        <f>IF(AND(AG19=1,IFERROR(INDEX(Current!$G$7:$G$56,MATCH($A19,Current!$A$7:$A$56,0)),"")="Ready"),1,0)</f>
        <v>0</v>
      </c>
      <c r="F19" s="14">
        <f>IF(AND(AG19=1,IFERROR(INDEX(Proposed!$H$7:$H$56,MATCH($A19,Proposed!$A$7:$A$56,0)),"")="Ready",OR(AP19&lt;&gt;"Retain",AND(IFERROR(INDEX(Current!$B$7:$B$56,MATCH($A19,Current!$A$7:$A$56,0)),"")=IFERROR(INDEX(Proposed!$B$7:$B$56,MATCH($A19,Proposed!$A$7:$A$56,0)),""),IFERROR(INDEX(Current!$C$7:$C$56,MATCH($A19,Current!$A$7:$A$56,0)),"")=IFERROR(INDEX(Proposed!$C$7:$C$56,MATCH($A19,Proposed!$A$7:$A$56,0)),""),IFERROR(INDEX(Current!$D$7:$D$56,MATCH($A19,Current!$A$7:$A$56,0)),"")=IFERROR(INDEX(Proposed!$D$7:$D$56,MATCH($A19,Proposed!$A$7:$A$56,0)),""),IFERROR(INDEX(Current!$E$7:$E$56,MATCH($A19,Current!$A$7:$A$56,0)),"")=IFERROR(INDEX(Proposed!$E$7:$E$56,MATCH($A19,Proposed!$A$7:$A$56,0)),"")))),1,0)</f>
        <v>0</v>
      </c>
      <c r="G19" s="14" t="str">
        <f>IF(COUNTIFS('Challenge Review'!$A$7:$A$56,$A19,'Challenge Review'!$K$7:$K$56,"&lt;&gt;")=1,IFERROR(INDEX('Challenge Review'!$K$7:$K$56,MATCH($A19,'Challenge Review'!$A$7:$A$56,0)),""),"")</f>
        <v>Unchecked</v>
      </c>
      <c r="H19" s="14">
        <f>IF(AND(AG19=1,IFERROR(INDEX('Review &amp; Decision'!$B$7:$B$56,MATCH($A19,'Review &amp; Decision'!$A$7:$A$56,0)),"")="Evidence-backed",OR(IFERROR(INDEX('Review &amp; Decision'!$C$7:$C$56,MATCH($A19,'Review &amp; Decision'!$A$7:$A$56,0)),"")="Equivalent or better",AND(IFERROR(INDEX('Review &amp; Decision'!$C$7:$C$56,MATCH($A19,'Review &amp; Decision'!$A$7:$A$56,0)),"")="Accepted reduction",COUNTIFS('Review &amp; Decision'!$A$7:$A$56,$A19,'Review &amp; Decision'!$L$7:$L$56,"&lt;&gt;")=1)),COUNTIFS('Review &amp; Decision'!$A$7:$A$56,$A19,'Review &amp; Decision'!$D$7:$D$56,"&lt;&gt;")=1,COUNTIFS('Review &amp; Decision'!$A$7:$A$56,$A19,'Review &amp; Decision'!$F$7:$F$56,"&lt;&gt;")=1,OR(IFERROR(INDEX('Review &amp; Decision'!$E$7:$E$56,MATCH($A19,'Review &amp; Decision'!$A$7:$A$56,0)),"")="Approved",IFERROR(INDEX('Review &amp; Decision'!$E$7:$E$56,MATCH($A19,'Review &amp; Decision'!$A$7:$A$56,0)),"")="Implemented"),ISNUMBER(IFERROR(INDEX('Review &amp; Decision'!$G$7:$G$56,MATCH($A19,'Review &amp; Decision'!$A$7:$A$56,0)),"")),IFERROR(INDEX('Review &amp; Decision'!$G$7:$G$56,MATCH($A19,'Review &amp; Decision'!$A$7:$A$56,0)),"")&gt;0,IFERROR(INDEX('Review &amp; Decision'!$G$7:$G$56,MATCH($A19,'Review &amp; Decision'!$A$7:$A$56,0)),"")&lt;=Settings!$B$7,ISNUMBER(IFERROR(INDEX('Review &amp; Decision'!$I$7:$I$56,MATCH($A19,'Review &amp; Decision'!$A$7:$A$56,0)),"")),IFERROR(INDEX('Review &amp; Decision'!$I$7:$I$56,MATCH($A19,'Review &amp; Decision'!$A$7:$A$56,0)),"")&gt;0,IFERROR(INDEX('Review &amp; Decision'!$I$7:$I$56,MATCH($A19,'Review &amp; Decision'!$A$7:$A$56,0)),"")&lt;=Settings!$B$7,IFERROR(INDEX('Review &amp; Decision'!$I$7:$I$56,MATCH($A19,'Review &amp; Decision'!$A$7:$A$56,0)),"")&gt;=IFERROR(INDEX('Review &amp; Decision'!$G$7:$G$56,MATCH($A19,'Review &amp; Decision'!$A$7:$A$56,0)),""),COUNTIFS('Review &amp; Decision'!$A$7:$A$56,$A19,'Review &amp; Decision'!$J$7:$J$56,"&lt;&gt;")=1,COUNTIFS('Review &amp; Decision'!$A$7:$A$56,$A19,'Review &amp; Decision'!$K$7:$K$56,"&lt;&gt;")=1,ISNUMBER(IFERROR(INDEX('Review &amp; Decision'!$J$7:$J$56,MATCH($A19,'Review &amp; Decision'!$A$7:$A$56,0)),"")),IFERROR(INDEX('Review &amp; Decision'!$J$7:$J$56,MATCH($A19,'Review &amp; Decision'!$A$7:$A$56,0)),"")&gt;=0,IFERROR(INDEX('Review &amp; Decision'!$J$7:$J$56,MATCH($A19,'Review &amp; Decision'!$A$7:$A$56,0)),"")&lt;=1,ISNUMBER(IFERROR(INDEX('Review &amp; Decision'!$K$7:$K$56,MATCH($A19,'Review &amp; Decision'!$A$7:$A$56,0)),"")),IFERROR(INDEX('Review &amp; Decision'!$K$7:$K$56,MATCH($A19,'Review &amp; Decision'!$A$7:$A$56,0)),"")&gt;=0,IFERROR(INDEX('Review &amp; Decision'!$K$7:$K$56,MATCH($A19,'Review &amp; Decision'!$A$7:$A$56,0)),"")&lt;=1,ISNUMBER(Settings!$B$7),Settings!$B$7&gt;0,OR(Settings!$B$8="Approved + measured",Settings!$B$8="Measured only"),LEN(TRIM(IF(COUNTIFS('Review &amp; Decision'!$A$7:$A$56,$A19,'Review &amp; Decision'!$D$7:$D$56,"&lt;&gt;")=1,IFERROR(INDEX('Review &amp; Decision'!$D$7:$D$56,MATCH($A19,'Review &amp; Decision'!$A$7:$A$56,0)),""),"")))&gt;0,LEN(TRIM(IF(COUNTIFS('Review &amp; Decision'!$A$7:$A$56,$A19,'Review &amp; Decision'!$F$7:$F$56,"&lt;&gt;")=1,IFERROR(INDEX('Review &amp; Decision'!$F$7:$F$56,MATCH($A19,'Review &amp; Decision'!$A$7:$A$56,0)),""),"")))&gt;0,OR(IFERROR(INDEX('Review &amp; Decision'!$C$7:$C$56,MATCH($A19,'Review &amp; Decision'!$A$7:$A$56,0)),"")&lt;&gt;"Accepted reduction",LEN(TRIM(IF(COUNTIFS('Review &amp; Decision'!$A$7:$A$56,$A19,'Review &amp; Decision'!$L$7:$L$56,"&lt;&gt;")=1,IFERROR(INDEX('Review &amp; Decision'!$L$7:$L$56,MATCH($A19,'Review &amp; Decision'!$A$7:$A$56,0)),""),"")))&gt;0)),1,0)</f>
        <v>0</v>
      </c>
      <c r="I19" s="14">
        <f>IF(AND(AG19=1,IFERROR(INDEX(Actuals!$M$7:$M$56,MATCH($A19,Actuals!$A$7:$A$56,0)),"")="Ready",IFERROR(INDEX(Actuals!$D$7:$D$56,MATCH($A19,Actuals!$A$7:$A$56,0)),"")&gt;=IFERROR(INDEX('Review &amp; Decision'!$I$7:$I$56,MATCH($A19,'Review &amp; Decision'!$A$7:$A$56,0)),"")),1,0)</f>
        <v>0</v>
      </c>
      <c r="J19" s="14" t="str">
        <f t="shared" si="0"/>
        <v>Unused slot</v>
      </c>
      <c r="K19" s="14">
        <f t="shared" si="1"/>
        <v>0</v>
      </c>
      <c r="L19" s="14">
        <f t="shared" si="2"/>
        <v>0</v>
      </c>
      <c r="M19" s="14">
        <f>IF(OR(L19=1,AND(K19=1,Settings!$B$8="Approved + measured")),1,0)</f>
        <v>0</v>
      </c>
      <c r="N19" s="14" t="str">
        <f>IF(E19=1,IFERROR(INDEX(Current!$H$7:$H$56,MATCH($A19,Current!$A$7:$A$56,0)),""),"")</f>
        <v/>
      </c>
      <c r="O19" s="14" t="str">
        <f>IF(F19=1,IFERROR(INDEX(Proposed!$I$7:$I$56,MATCH($A19,Proposed!$A$7:$A$56,0)),""),"")</f>
        <v/>
      </c>
      <c r="P19" s="14" t="str">
        <f t="shared" si="3"/>
        <v/>
      </c>
      <c r="Q19" s="14" t="str">
        <f>IF(E19=1,IFERROR(INDEX(Current!$I$7:$I$56,MATCH($A19,Current!$A$7:$A$56,0)),""),"")</f>
        <v/>
      </c>
      <c r="R19" s="14" t="str">
        <f>IF(F19=1,IFERROR(INDEX(Proposed!$J$7:$J$56,MATCH($A19,Proposed!$A$7:$A$56,0)),""),"")</f>
        <v/>
      </c>
      <c r="S19" s="14" t="str">
        <f t="shared" si="4"/>
        <v/>
      </c>
      <c r="T19" s="14" t="str">
        <f>IF(E19=1,IFERROR(INDEX(Current!$E$7:$E$56,MATCH($A19,Current!$A$7:$A$56,0)),""),"")</f>
        <v/>
      </c>
      <c r="U19" s="14" t="str">
        <f>IF(F19=1,IFERROR(INDEX(Proposed!$E$7:$E$56,MATCH($A19,Proposed!$A$7:$A$56,0)),""),"")</f>
        <v/>
      </c>
      <c r="V19" s="14" t="str">
        <f t="shared" si="5"/>
        <v/>
      </c>
      <c r="W19" s="14" t="str">
        <f>IF(E19=1,IFERROR(INDEX(Current!$K$7:$K$56,MATCH($A19,Current!$A$7:$A$56,0)),""),"")</f>
        <v/>
      </c>
      <c r="X19" s="14" t="str">
        <f>IF(F19=1,IFERROR(INDEX(Proposed!$L$7:$L$56,MATCH($A19,Proposed!$A$7:$A$56,0)),""),"")</f>
        <v/>
      </c>
      <c r="Y19" s="14" t="str">
        <f t="shared" si="6"/>
        <v/>
      </c>
      <c r="Z19" s="14" t="str">
        <f>IF(F19=1,IFERROR(INDEX(Proposed!$F$7:$F$56,MATCH($A19,Proposed!$A$7:$A$56,0)),""),"")</f>
        <v/>
      </c>
      <c r="AA19" s="14">
        <f>IF(M19=1,IF(IF(L19=1,AL19,P19)&gt;0,IF(L19=1,AL19,P19)*IFERROR(INDEX('Review &amp; Decision'!$J$7:$J$56,MATCH($A19,'Review &amp; Decision'!$A$7:$A$56,0)),""),IF(L19=1,AL19,P19)),0)</f>
        <v>0</v>
      </c>
      <c r="AB19" s="14">
        <f>IF(M19=1,IF(IF(L19=1,AM19,S19)&gt;0,IF(L19=1,AM19,S19)*IFERROR(INDEX('Review &amp; Decision'!$K$7:$K$56,MATCH($A19,'Review &amp; Decision'!$A$7:$A$56,0)),""),IF(L19=1,AM19,S19)),0)</f>
        <v>0</v>
      </c>
      <c r="AC19" s="14">
        <f t="shared" si="7"/>
        <v>0</v>
      </c>
      <c r="AD19" s="14">
        <f t="shared" si="8"/>
        <v>0</v>
      </c>
      <c r="AE19" s="14">
        <f t="shared" si="9"/>
        <v>0</v>
      </c>
      <c r="AF19" s="14" t="str">
        <f t="shared" si="10"/>
        <v>No measurement warning</v>
      </c>
      <c r="AG19" s="14">
        <f>IF(AND(COUNTIF(Cases!$A$7:$A$56,$A19)=1,COUNTIF(Current!$A$7:$A$56,$A19)=1,COUNTIF(Proposed!$A$7:$A$56,$A19)=1,COUNTIF('Review &amp; Decision'!$A$7:$A$56,$A19)=1,COUNTIF('Challenge Review'!$A$7:$A$56,$A19)=1,COUNTIF(Actuals!$A$7:$A$56,$A19)=1,COUNTIF(Classification!$A$7:$A$56,$A19)=1),1,0)</f>
        <v>1</v>
      </c>
      <c r="AH19" s="14">
        <f t="shared" si="11"/>
        <v>0</v>
      </c>
      <c r="AI19" s="14" t="str">
        <f>IF(COUNTIFS('Review &amp; Decision'!$A$7:$A$56,$A19,'Review &amp; Decision'!$H$7:$H$56,"&lt;&gt;")=1,IFERROR(INDEX('Review &amp; Decision'!$H$7:$H$56,MATCH($A19,'Review &amp; Decision'!$A$7:$A$56,0)),""),"")</f>
        <v/>
      </c>
      <c r="AJ19" s="14" t="str">
        <f>IF(COUNTIFS('Review &amp; Decision'!$A$7:$A$56,$A19,'Review &amp; Decision'!$E$7:$E$56,"&lt;&gt;")=1,IFERROR(INDEX('Review &amp; Decision'!$E$7:$E$56,MATCH($A19,'Review &amp; Decision'!$A$7:$A$56,0)),""),"")</f>
        <v/>
      </c>
      <c r="AK19" s="14" t="str">
        <f>IF(COUNTIFS('Review &amp; Decision'!$A$7:$A$56,$A19,'Review &amp; Decision'!$B$7:$B$56,"&lt;&gt;")=1,IFERROR(INDEX('Review &amp; Decision'!$B$7:$B$56,MATCH($A19,'Review &amp; Decision'!$A$7:$A$56,0)),""),"")</f>
        <v/>
      </c>
      <c r="AL19" s="14" t="str">
        <f>IF(I19=1,IFERROR(INDEX(Actuals!$E$7:$E$56,MATCH($A19,Actuals!$A$7:$A$56,0)),""),"")</f>
        <v/>
      </c>
      <c r="AM19" s="14" t="str">
        <f>IF(I19=1,IFERROR(INDEX(Actuals!$F$7:$F$56,MATCH($A19,Actuals!$A$7:$A$56,0)),""),"")</f>
        <v/>
      </c>
      <c r="AN19" s="14" t="str">
        <f>IF(I19=1,IFERROR(INDEX(Actuals!$G$7:$G$56,MATCH($A19,Actuals!$A$7:$A$56,0)),""),"")</f>
        <v/>
      </c>
      <c r="AO19" s="14" t="str">
        <f>IF(I19=1,IFERROR(INDEX(Actuals!$G$7:$G$56,MATCH($A19,Actuals!$A$7:$A$56,0)),"")+IFERROR(INDEX(Actuals!$H$7:$H$56,MATCH($A19,Actuals!$A$7:$A$56,0)),""),"")</f>
        <v/>
      </c>
      <c r="AP19" s="14" t="str">
        <f>IF(COUNTIFS(Cases!$A$7:$A$56,$A19,Cases!$G$7:$G$56,"&lt;&gt;")=1,IFERROR(INDEX(Cases!$G$7:$G$56,MATCH($A19,Cases!$A$7:$A$56,0)),""),"")</f>
        <v/>
      </c>
    </row>
    <row r="20" spans="1:42" ht="43.9" customHeight="1">
      <c r="A20" s="14" t="s">
        <v>111</v>
      </c>
      <c r="B20" s="14" t="str">
        <f>IF(COUNTIFS(Cases!$A$7:$A$56,$A20,Cases!$B$7:$B$56,"&lt;&gt;")=1,IFERROR(INDEX(Cases!$B$7:$B$56,MATCH($A20,Cases!$A$7:$A$56,0)),""),"")</f>
        <v>Inactive</v>
      </c>
      <c r="C20" s="14" t="str">
        <f>IF(COUNTIFS(Cases!$A$7:$A$56,$A20,Cases!$C$7:$C$56,"&lt;&gt;")=1,IFERROR(INDEX(Cases!$C$7:$C$56,MATCH($A20,Cases!$A$7:$A$56,0)),""),"")</f>
        <v/>
      </c>
      <c r="D20" s="14">
        <f>IF(AND(AG20=1,OR(B20="Example",B20="Live"),OR(AP20="Simplify",AP20="Replace",AP20="Reduce scope",AP20="Retire",AP20="Retain"),COUNTIFS(Cases!$A$7:$A$56,$A20,Cases!$C$7:$C$56,"&lt;&gt;")=1,COUNTIFS(Cases!$A$7:$A$56,$A20,Cases!$D$7:$D$56,"&lt;&gt;")=1,COUNTIFS(Cases!$A$7:$A$56,$A20,Cases!$E$7:$E$56,"&lt;&gt;")=1,COUNTIFS(Cases!$A$7:$A$56,$A20,Cases!$F$7:$F$56,"&lt;&gt;")=1,COUNTIFS(Cases!$A$7:$A$56,$A20,Cases!$H$7:$H$56,"&lt;&gt;")=1,COUNTIFS(Cases!$A$7:$A$56,$A20,Cases!$I$7:$I$56,"&lt;&gt;")=1,LEN(TRIM(IF(COUNTIFS(Cases!$A$7:$A$56,$A20,Cases!$C$7:$C$56,"&lt;&gt;")=1,IFERROR(INDEX(Cases!$C$7:$C$56,MATCH($A20,Cases!$A$7:$A$56,0)),""),"")))&gt;0,LEN(TRIM(IF(COUNTIFS(Cases!$A$7:$A$56,$A20,Cases!$D$7:$D$56,"&lt;&gt;")=1,IFERROR(INDEX(Cases!$D$7:$D$56,MATCH($A20,Cases!$A$7:$A$56,0)),""),"")))&gt;0,LEN(TRIM(IF(COUNTIFS(Cases!$A$7:$A$56,$A20,Cases!$E$7:$E$56,"&lt;&gt;")=1,IFERROR(INDEX(Cases!$E$7:$E$56,MATCH($A20,Cases!$A$7:$A$56,0)),""),"")))&gt;0,LEN(TRIM(IF(COUNTIFS(Cases!$A$7:$A$56,$A20,Cases!$F$7:$F$56,"&lt;&gt;")=1,IFERROR(INDEX(Cases!$F$7:$F$56,MATCH($A20,Cases!$A$7:$A$56,0)),""),"")))&gt;0,LEN(TRIM(IF(COUNTIFS(Cases!$A$7:$A$56,$A20,Cases!$H$7:$H$56,"&lt;&gt;")=1,IFERROR(INDEX(Cases!$H$7:$H$56,MATCH($A20,Cases!$A$7:$A$56,0)),""),"")))&gt;0,LEN(TRIM(IF(COUNTIFS(Cases!$A$7:$A$56,$A20,Cases!$I$7:$I$56,"&lt;&gt;")=1,IFERROR(INDEX(Cases!$I$7:$I$56,MATCH($A20,Cases!$A$7:$A$56,0)),""),"")))&gt;0),1,0)</f>
        <v>0</v>
      </c>
      <c r="E20" s="14">
        <f>IF(AND(AG20=1,IFERROR(INDEX(Current!$G$7:$G$56,MATCH($A20,Current!$A$7:$A$56,0)),"")="Ready"),1,0)</f>
        <v>0</v>
      </c>
      <c r="F20" s="14">
        <f>IF(AND(AG20=1,IFERROR(INDEX(Proposed!$H$7:$H$56,MATCH($A20,Proposed!$A$7:$A$56,0)),"")="Ready",OR(AP20&lt;&gt;"Retain",AND(IFERROR(INDEX(Current!$B$7:$B$56,MATCH($A20,Current!$A$7:$A$56,0)),"")=IFERROR(INDEX(Proposed!$B$7:$B$56,MATCH($A20,Proposed!$A$7:$A$56,0)),""),IFERROR(INDEX(Current!$C$7:$C$56,MATCH($A20,Current!$A$7:$A$56,0)),"")=IFERROR(INDEX(Proposed!$C$7:$C$56,MATCH($A20,Proposed!$A$7:$A$56,0)),""),IFERROR(INDEX(Current!$D$7:$D$56,MATCH($A20,Current!$A$7:$A$56,0)),"")=IFERROR(INDEX(Proposed!$D$7:$D$56,MATCH($A20,Proposed!$A$7:$A$56,0)),""),IFERROR(INDEX(Current!$E$7:$E$56,MATCH($A20,Current!$A$7:$A$56,0)),"")=IFERROR(INDEX(Proposed!$E$7:$E$56,MATCH($A20,Proposed!$A$7:$A$56,0)),"")))),1,0)</f>
        <v>0</v>
      </c>
      <c r="G20" s="14" t="str">
        <f>IF(COUNTIFS('Challenge Review'!$A$7:$A$56,$A20,'Challenge Review'!$K$7:$K$56,"&lt;&gt;")=1,IFERROR(INDEX('Challenge Review'!$K$7:$K$56,MATCH($A20,'Challenge Review'!$A$7:$A$56,0)),""),"")</f>
        <v>Unchecked</v>
      </c>
      <c r="H20" s="14">
        <f>IF(AND(AG20=1,IFERROR(INDEX('Review &amp; Decision'!$B$7:$B$56,MATCH($A20,'Review &amp; Decision'!$A$7:$A$56,0)),"")="Evidence-backed",OR(IFERROR(INDEX('Review &amp; Decision'!$C$7:$C$56,MATCH($A20,'Review &amp; Decision'!$A$7:$A$56,0)),"")="Equivalent or better",AND(IFERROR(INDEX('Review &amp; Decision'!$C$7:$C$56,MATCH($A20,'Review &amp; Decision'!$A$7:$A$56,0)),"")="Accepted reduction",COUNTIFS('Review &amp; Decision'!$A$7:$A$56,$A20,'Review &amp; Decision'!$L$7:$L$56,"&lt;&gt;")=1)),COUNTIFS('Review &amp; Decision'!$A$7:$A$56,$A20,'Review &amp; Decision'!$D$7:$D$56,"&lt;&gt;")=1,COUNTIFS('Review &amp; Decision'!$A$7:$A$56,$A20,'Review &amp; Decision'!$F$7:$F$56,"&lt;&gt;")=1,OR(IFERROR(INDEX('Review &amp; Decision'!$E$7:$E$56,MATCH($A20,'Review &amp; Decision'!$A$7:$A$56,0)),"")="Approved",IFERROR(INDEX('Review &amp; Decision'!$E$7:$E$56,MATCH($A20,'Review &amp; Decision'!$A$7:$A$56,0)),"")="Implemented"),ISNUMBER(IFERROR(INDEX('Review &amp; Decision'!$G$7:$G$56,MATCH($A20,'Review &amp; Decision'!$A$7:$A$56,0)),"")),IFERROR(INDEX('Review &amp; Decision'!$G$7:$G$56,MATCH($A20,'Review &amp; Decision'!$A$7:$A$56,0)),"")&gt;0,IFERROR(INDEX('Review &amp; Decision'!$G$7:$G$56,MATCH($A20,'Review &amp; Decision'!$A$7:$A$56,0)),"")&lt;=Settings!$B$7,ISNUMBER(IFERROR(INDEX('Review &amp; Decision'!$I$7:$I$56,MATCH($A20,'Review &amp; Decision'!$A$7:$A$56,0)),"")),IFERROR(INDEX('Review &amp; Decision'!$I$7:$I$56,MATCH($A20,'Review &amp; Decision'!$A$7:$A$56,0)),"")&gt;0,IFERROR(INDEX('Review &amp; Decision'!$I$7:$I$56,MATCH($A20,'Review &amp; Decision'!$A$7:$A$56,0)),"")&lt;=Settings!$B$7,IFERROR(INDEX('Review &amp; Decision'!$I$7:$I$56,MATCH($A20,'Review &amp; Decision'!$A$7:$A$56,0)),"")&gt;=IFERROR(INDEX('Review &amp; Decision'!$G$7:$G$56,MATCH($A20,'Review &amp; Decision'!$A$7:$A$56,0)),""),COUNTIFS('Review &amp; Decision'!$A$7:$A$56,$A20,'Review &amp; Decision'!$J$7:$J$56,"&lt;&gt;")=1,COUNTIFS('Review &amp; Decision'!$A$7:$A$56,$A20,'Review &amp; Decision'!$K$7:$K$56,"&lt;&gt;")=1,ISNUMBER(IFERROR(INDEX('Review &amp; Decision'!$J$7:$J$56,MATCH($A20,'Review &amp; Decision'!$A$7:$A$56,0)),"")),IFERROR(INDEX('Review &amp; Decision'!$J$7:$J$56,MATCH($A20,'Review &amp; Decision'!$A$7:$A$56,0)),"")&gt;=0,IFERROR(INDEX('Review &amp; Decision'!$J$7:$J$56,MATCH($A20,'Review &amp; Decision'!$A$7:$A$56,0)),"")&lt;=1,ISNUMBER(IFERROR(INDEX('Review &amp; Decision'!$K$7:$K$56,MATCH($A20,'Review &amp; Decision'!$A$7:$A$56,0)),"")),IFERROR(INDEX('Review &amp; Decision'!$K$7:$K$56,MATCH($A20,'Review &amp; Decision'!$A$7:$A$56,0)),"")&gt;=0,IFERROR(INDEX('Review &amp; Decision'!$K$7:$K$56,MATCH($A20,'Review &amp; Decision'!$A$7:$A$56,0)),"")&lt;=1,ISNUMBER(Settings!$B$7),Settings!$B$7&gt;0,OR(Settings!$B$8="Approved + measured",Settings!$B$8="Measured only"),LEN(TRIM(IF(COUNTIFS('Review &amp; Decision'!$A$7:$A$56,$A20,'Review &amp; Decision'!$D$7:$D$56,"&lt;&gt;")=1,IFERROR(INDEX('Review &amp; Decision'!$D$7:$D$56,MATCH($A20,'Review &amp; Decision'!$A$7:$A$56,0)),""),"")))&gt;0,LEN(TRIM(IF(COUNTIFS('Review &amp; Decision'!$A$7:$A$56,$A20,'Review &amp; Decision'!$F$7:$F$56,"&lt;&gt;")=1,IFERROR(INDEX('Review &amp; Decision'!$F$7:$F$56,MATCH($A20,'Review &amp; Decision'!$A$7:$A$56,0)),""),"")))&gt;0,OR(IFERROR(INDEX('Review &amp; Decision'!$C$7:$C$56,MATCH($A20,'Review &amp; Decision'!$A$7:$A$56,0)),"")&lt;&gt;"Accepted reduction",LEN(TRIM(IF(COUNTIFS('Review &amp; Decision'!$A$7:$A$56,$A20,'Review &amp; Decision'!$L$7:$L$56,"&lt;&gt;")=1,IFERROR(INDEX('Review &amp; Decision'!$L$7:$L$56,MATCH($A20,'Review &amp; Decision'!$A$7:$A$56,0)),""),"")))&gt;0)),1,0)</f>
        <v>0</v>
      </c>
      <c r="I20" s="14">
        <f>IF(AND(AG20=1,IFERROR(INDEX(Actuals!$M$7:$M$56,MATCH($A20,Actuals!$A$7:$A$56,0)),"")="Ready",IFERROR(INDEX(Actuals!$D$7:$D$56,MATCH($A20,Actuals!$A$7:$A$56,0)),"")&gt;=IFERROR(INDEX('Review &amp; Decision'!$I$7:$I$56,MATCH($A20,'Review &amp; Decision'!$A$7:$A$56,0)),"")),1,0)</f>
        <v>0</v>
      </c>
      <c r="J20" s="14" t="str">
        <f t="shared" si="0"/>
        <v>Unused slot</v>
      </c>
      <c r="K20" s="14">
        <f t="shared" si="1"/>
        <v>0</v>
      </c>
      <c r="L20" s="14">
        <f t="shared" si="2"/>
        <v>0</v>
      </c>
      <c r="M20" s="14">
        <f>IF(OR(L20=1,AND(K20=1,Settings!$B$8="Approved + measured")),1,0)</f>
        <v>0</v>
      </c>
      <c r="N20" s="14" t="str">
        <f>IF(E20=1,IFERROR(INDEX(Current!$H$7:$H$56,MATCH($A20,Current!$A$7:$A$56,0)),""),"")</f>
        <v/>
      </c>
      <c r="O20" s="14" t="str">
        <f>IF(F20=1,IFERROR(INDEX(Proposed!$I$7:$I$56,MATCH($A20,Proposed!$A$7:$A$56,0)),""),"")</f>
        <v/>
      </c>
      <c r="P20" s="14" t="str">
        <f t="shared" si="3"/>
        <v/>
      </c>
      <c r="Q20" s="14" t="str">
        <f>IF(E20=1,IFERROR(INDEX(Current!$I$7:$I$56,MATCH($A20,Current!$A$7:$A$56,0)),""),"")</f>
        <v/>
      </c>
      <c r="R20" s="14" t="str">
        <f>IF(F20=1,IFERROR(INDEX(Proposed!$J$7:$J$56,MATCH($A20,Proposed!$A$7:$A$56,0)),""),"")</f>
        <v/>
      </c>
      <c r="S20" s="14" t="str">
        <f t="shared" si="4"/>
        <v/>
      </c>
      <c r="T20" s="14" t="str">
        <f>IF(E20=1,IFERROR(INDEX(Current!$E$7:$E$56,MATCH($A20,Current!$A$7:$A$56,0)),""),"")</f>
        <v/>
      </c>
      <c r="U20" s="14" t="str">
        <f>IF(F20=1,IFERROR(INDEX(Proposed!$E$7:$E$56,MATCH($A20,Proposed!$A$7:$A$56,0)),""),"")</f>
        <v/>
      </c>
      <c r="V20" s="14" t="str">
        <f t="shared" si="5"/>
        <v/>
      </c>
      <c r="W20" s="14" t="str">
        <f>IF(E20=1,IFERROR(INDEX(Current!$K$7:$K$56,MATCH($A20,Current!$A$7:$A$56,0)),""),"")</f>
        <v/>
      </c>
      <c r="X20" s="14" t="str">
        <f>IF(F20=1,IFERROR(INDEX(Proposed!$L$7:$L$56,MATCH($A20,Proposed!$A$7:$A$56,0)),""),"")</f>
        <v/>
      </c>
      <c r="Y20" s="14" t="str">
        <f t="shared" si="6"/>
        <v/>
      </c>
      <c r="Z20" s="14" t="str">
        <f>IF(F20=1,IFERROR(INDEX(Proposed!$F$7:$F$56,MATCH($A20,Proposed!$A$7:$A$56,0)),""),"")</f>
        <v/>
      </c>
      <c r="AA20" s="14">
        <f>IF(M20=1,IF(IF(L20=1,AL20,P20)&gt;0,IF(L20=1,AL20,P20)*IFERROR(INDEX('Review &amp; Decision'!$J$7:$J$56,MATCH($A20,'Review &amp; Decision'!$A$7:$A$56,0)),""),IF(L20=1,AL20,P20)),0)</f>
        <v>0</v>
      </c>
      <c r="AB20" s="14">
        <f>IF(M20=1,IF(IF(L20=1,AM20,S20)&gt;0,IF(L20=1,AM20,S20)*IFERROR(INDEX('Review &amp; Decision'!$K$7:$K$56,MATCH($A20,'Review &amp; Decision'!$A$7:$A$56,0)),""),IF(L20=1,AM20,S20)),0)</f>
        <v>0</v>
      </c>
      <c r="AC20" s="14">
        <f t="shared" si="7"/>
        <v>0</v>
      </c>
      <c r="AD20" s="14">
        <f t="shared" si="8"/>
        <v>0</v>
      </c>
      <c r="AE20" s="14">
        <f t="shared" si="9"/>
        <v>0</v>
      </c>
      <c r="AF20" s="14" t="str">
        <f t="shared" si="10"/>
        <v>No measurement warning</v>
      </c>
      <c r="AG20" s="14">
        <f>IF(AND(COUNTIF(Cases!$A$7:$A$56,$A20)=1,COUNTIF(Current!$A$7:$A$56,$A20)=1,COUNTIF(Proposed!$A$7:$A$56,$A20)=1,COUNTIF('Review &amp; Decision'!$A$7:$A$56,$A20)=1,COUNTIF('Challenge Review'!$A$7:$A$56,$A20)=1,COUNTIF(Actuals!$A$7:$A$56,$A20)=1,COUNTIF(Classification!$A$7:$A$56,$A20)=1),1,0)</f>
        <v>1</v>
      </c>
      <c r="AH20" s="14">
        <f t="shared" si="11"/>
        <v>0</v>
      </c>
      <c r="AI20" s="14" t="str">
        <f>IF(COUNTIFS('Review &amp; Decision'!$A$7:$A$56,$A20,'Review &amp; Decision'!$H$7:$H$56,"&lt;&gt;")=1,IFERROR(INDEX('Review &amp; Decision'!$H$7:$H$56,MATCH($A20,'Review &amp; Decision'!$A$7:$A$56,0)),""),"")</f>
        <v/>
      </c>
      <c r="AJ20" s="14" t="str">
        <f>IF(COUNTIFS('Review &amp; Decision'!$A$7:$A$56,$A20,'Review &amp; Decision'!$E$7:$E$56,"&lt;&gt;")=1,IFERROR(INDEX('Review &amp; Decision'!$E$7:$E$56,MATCH($A20,'Review &amp; Decision'!$A$7:$A$56,0)),""),"")</f>
        <v/>
      </c>
      <c r="AK20" s="14" t="str">
        <f>IF(COUNTIFS('Review &amp; Decision'!$A$7:$A$56,$A20,'Review &amp; Decision'!$B$7:$B$56,"&lt;&gt;")=1,IFERROR(INDEX('Review &amp; Decision'!$B$7:$B$56,MATCH($A20,'Review &amp; Decision'!$A$7:$A$56,0)),""),"")</f>
        <v/>
      </c>
      <c r="AL20" s="14" t="str">
        <f>IF(I20=1,IFERROR(INDEX(Actuals!$E$7:$E$56,MATCH($A20,Actuals!$A$7:$A$56,0)),""),"")</f>
        <v/>
      </c>
      <c r="AM20" s="14" t="str">
        <f>IF(I20=1,IFERROR(INDEX(Actuals!$F$7:$F$56,MATCH($A20,Actuals!$A$7:$A$56,0)),""),"")</f>
        <v/>
      </c>
      <c r="AN20" s="14" t="str">
        <f>IF(I20=1,IFERROR(INDEX(Actuals!$G$7:$G$56,MATCH($A20,Actuals!$A$7:$A$56,0)),""),"")</f>
        <v/>
      </c>
      <c r="AO20" s="14" t="str">
        <f>IF(I20=1,IFERROR(INDEX(Actuals!$G$7:$G$56,MATCH($A20,Actuals!$A$7:$A$56,0)),"")+IFERROR(INDEX(Actuals!$H$7:$H$56,MATCH($A20,Actuals!$A$7:$A$56,0)),""),"")</f>
        <v/>
      </c>
      <c r="AP20" s="14" t="str">
        <f>IF(COUNTIFS(Cases!$A$7:$A$56,$A20,Cases!$G$7:$G$56,"&lt;&gt;")=1,IFERROR(INDEX(Cases!$G$7:$G$56,MATCH($A20,Cases!$A$7:$A$56,0)),""),"")</f>
        <v/>
      </c>
    </row>
    <row r="21" spans="1:42" ht="43.9" customHeight="1">
      <c r="A21" s="14" t="s">
        <v>112</v>
      </c>
      <c r="B21" s="14" t="str">
        <f>IF(COUNTIFS(Cases!$A$7:$A$56,$A21,Cases!$B$7:$B$56,"&lt;&gt;")=1,IFERROR(INDEX(Cases!$B$7:$B$56,MATCH($A21,Cases!$A$7:$A$56,0)),""),"")</f>
        <v>Inactive</v>
      </c>
      <c r="C21" s="14" t="str">
        <f>IF(COUNTIFS(Cases!$A$7:$A$56,$A21,Cases!$C$7:$C$56,"&lt;&gt;")=1,IFERROR(INDEX(Cases!$C$7:$C$56,MATCH($A21,Cases!$A$7:$A$56,0)),""),"")</f>
        <v/>
      </c>
      <c r="D21" s="14">
        <f>IF(AND(AG21=1,OR(B21="Example",B21="Live"),OR(AP21="Simplify",AP21="Replace",AP21="Reduce scope",AP21="Retire",AP21="Retain"),COUNTIFS(Cases!$A$7:$A$56,$A21,Cases!$C$7:$C$56,"&lt;&gt;")=1,COUNTIFS(Cases!$A$7:$A$56,$A21,Cases!$D$7:$D$56,"&lt;&gt;")=1,COUNTIFS(Cases!$A$7:$A$56,$A21,Cases!$E$7:$E$56,"&lt;&gt;")=1,COUNTIFS(Cases!$A$7:$A$56,$A21,Cases!$F$7:$F$56,"&lt;&gt;")=1,COUNTIFS(Cases!$A$7:$A$56,$A21,Cases!$H$7:$H$56,"&lt;&gt;")=1,COUNTIFS(Cases!$A$7:$A$56,$A21,Cases!$I$7:$I$56,"&lt;&gt;")=1,LEN(TRIM(IF(COUNTIFS(Cases!$A$7:$A$56,$A21,Cases!$C$7:$C$56,"&lt;&gt;")=1,IFERROR(INDEX(Cases!$C$7:$C$56,MATCH($A21,Cases!$A$7:$A$56,0)),""),"")))&gt;0,LEN(TRIM(IF(COUNTIFS(Cases!$A$7:$A$56,$A21,Cases!$D$7:$D$56,"&lt;&gt;")=1,IFERROR(INDEX(Cases!$D$7:$D$56,MATCH($A21,Cases!$A$7:$A$56,0)),""),"")))&gt;0,LEN(TRIM(IF(COUNTIFS(Cases!$A$7:$A$56,$A21,Cases!$E$7:$E$56,"&lt;&gt;")=1,IFERROR(INDEX(Cases!$E$7:$E$56,MATCH($A21,Cases!$A$7:$A$56,0)),""),"")))&gt;0,LEN(TRIM(IF(COUNTIFS(Cases!$A$7:$A$56,$A21,Cases!$F$7:$F$56,"&lt;&gt;")=1,IFERROR(INDEX(Cases!$F$7:$F$56,MATCH($A21,Cases!$A$7:$A$56,0)),""),"")))&gt;0,LEN(TRIM(IF(COUNTIFS(Cases!$A$7:$A$56,$A21,Cases!$H$7:$H$56,"&lt;&gt;")=1,IFERROR(INDEX(Cases!$H$7:$H$56,MATCH($A21,Cases!$A$7:$A$56,0)),""),"")))&gt;0,LEN(TRIM(IF(COUNTIFS(Cases!$A$7:$A$56,$A21,Cases!$I$7:$I$56,"&lt;&gt;")=1,IFERROR(INDEX(Cases!$I$7:$I$56,MATCH($A21,Cases!$A$7:$A$56,0)),""),"")))&gt;0),1,0)</f>
        <v>0</v>
      </c>
      <c r="E21" s="14">
        <f>IF(AND(AG21=1,IFERROR(INDEX(Current!$G$7:$G$56,MATCH($A21,Current!$A$7:$A$56,0)),"")="Ready"),1,0)</f>
        <v>0</v>
      </c>
      <c r="F21" s="14">
        <f>IF(AND(AG21=1,IFERROR(INDEX(Proposed!$H$7:$H$56,MATCH($A21,Proposed!$A$7:$A$56,0)),"")="Ready",OR(AP21&lt;&gt;"Retain",AND(IFERROR(INDEX(Current!$B$7:$B$56,MATCH($A21,Current!$A$7:$A$56,0)),"")=IFERROR(INDEX(Proposed!$B$7:$B$56,MATCH($A21,Proposed!$A$7:$A$56,0)),""),IFERROR(INDEX(Current!$C$7:$C$56,MATCH($A21,Current!$A$7:$A$56,0)),"")=IFERROR(INDEX(Proposed!$C$7:$C$56,MATCH($A21,Proposed!$A$7:$A$56,0)),""),IFERROR(INDEX(Current!$D$7:$D$56,MATCH($A21,Current!$A$7:$A$56,0)),"")=IFERROR(INDEX(Proposed!$D$7:$D$56,MATCH($A21,Proposed!$A$7:$A$56,0)),""),IFERROR(INDEX(Current!$E$7:$E$56,MATCH($A21,Current!$A$7:$A$56,0)),"")=IFERROR(INDEX(Proposed!$E$7:$E$56,MATCH($A21,Proposed!$A$7:$A$56,0)),"")))),1,0)</f>
        <v>0</v>
      </c>
      <c r="G21" s="14" t="str">
        <f>IF(COUNTIFS('Challenge Review'!$A$7:$A$56,$A21,'Challenge Review'!$K$7:$K$56,"&lt;&gt;")=1,IFERROR(INDEX('Challenge Review'!$K$7:$K$56,MATCH($A21,'Challenge Review'!$A$7:$A$56,0)),""),"")</f>
        <v>Unchecked</v>
      </c>
      <c r="H21" s="14">
        <f>IF(AND(AG21=1,IFERROR(INDEX('Review &amp; Decision'!$B$7:$B$56,MATCH($A21,'Review &amp; Decision'!$A$7:$A$56,0)),"")="Evidence-backed",OR(IFERROR(INDEX('Review &amp; Decision'!$C$7:$C$56,MATCH($A21,'Review &amp; Decision'!$A$7:$A$56,0)),"")="Equivalent or better",AND(IFERROR(INDEX('Review &amp; Decision'!$C$7:$C$56,MATCH($A21,'Review &amp; Decision'!$A$7:$A$56,0)),"")="Accepted reduction",COUNTIFS('Review &amp; Decision'!$A$7:$A$56,$A21,'Review &amp; Decision'!$L$7:$L$56,"&lt;&gt;")=1)),COUNTIFS('Review &amp; Decision'!$A$7:$A$56,$A21,'Review &amp; Decision'!$D$7:$D$56,"&lt;&gt;")=1,COUNTIFS('Review &amp; Decision'!$A$7:$A$56,$A21,'Review &amp; Decision'!$F$7:$F$56,"&lt;&gt;")=1,OR(IFERROR(INDEX('Review &amp; Decision'!$E$7:$E$56,MATCH($A21,'Review &amp; Decision'!$A$7:$A$56,0)),"")="Approved",IFERROR(INDEX('Review &amp; Decision'!$E$7:$E$56,MATCH($A21,'Review &amp; Decision'!$A$7:$A$56,0)),"")="Implemented"),ISNUMBER(IFERROR(INDEX('Review &amp; Decision'!$G$7:$G$56,MATCH($A21,'Review &amp; Decision'!$A$7:$A$56,0)),"")),IFERROR(INDEX('Review &amp; Decision'!$G$7:$G$56,MATCH($A21,'Review &amp; Decision'!$A$7:$A$56,0)),"")&gt;0,IFERROR(INDEX('Review &amp; Decision'!$G$7:$G$56,MATCH($A21,'Review &amp; Decision'!$A$7:$A$56,0)),"")&lt;=Settings!$B$7,ISNUMBER(IFERROR(INDEX('Review &amp; Decision'!$I$7:$I$56,MATCH($A21,'Review &amp; Decision'!$A$7:$A$56,0)),"")),IFERROR(INDEX('Review &amp; Decision'!$I$7:$I$56,MATCH($A21,'Review &amp; Decision'!$A$7:$A$56,0)),"")&gt;0,IFERROR(INDEX('Review &amp; Decision'!$I$7:$I$56,MATCH($A21,'Review &amp; Decision'!$A$7:$A$56,0)),"")&lt;=Settings!$B$7,IFERROR(INDEX('Review &amp; Decision'!$I$7:$I$56,MATCH($A21,'Review &amp; Decision'!$A$7:$A$56,0)),"")&gt;=IFERROR(INDEX('Review &amp; Decision'!$G$7:$G$56,MATCH($A21,'Review &amp; Decision'!$A$7:$A$56,0)),""),COUNTIFS('Review &amp; Decision'!$A$7:$A$56,$A21,'Review &amp; Decision'!$J$7:$J$56,"&lt;&gt;")=1,COUNTIFS('Review &amp; Decision'!$A$7:$A$56,$A21,'Review &amp; Decision'!$K$7:$K$56,"&lt;&gt;")=1,ISNUMBER(IFERROR(INDEX('Review &amp; Decision'!$J$7:$J$56,MATCH($A21,'Review &amp; Decision'!$A$7:$A$56,0)),"")),IFERROR(INDEX('Review &amp; Decision'!$J$7:$J$56,MATCH($A21,'Review &amp; Decision'!$A$7:$A$56,0)),"")&gt;=0,IFERROR(INDEX('Review &amp; Decision'!$J$7:$J$56,MATCH($A21,'Review &amp; Decision'!$A$7:$A$56,0)),"")&lt;=1,ISNUMBER(IFERROR(INDEX('Review &amp; Decision'!$K$7:$K$56,MATCH($A21,'Review &amp; Decision'!$A$7:$A$56,0)),"")),IFERROR(INDEX('Review &amp; Decision'!$K$7:$K$56,MATCH($A21,'Review &amp; Decision'!$A$7:$A$56,0)),"")&gt;=0,IFERROR(INDEX('Review &amp; Decision'!$K$7:$K$56,MATCH($A21,'Review &amp; Decision'!$A$7:$A$56,0)),"")&lt;=1,ISNUMBER(Settings!$B$7),Settings!$B$7&gt;0,OR(Settings!$B$8="Approved + measured",Settings!$B$8="Measured only"),LEN(TRIM(IF(COUNTIFS('Review &amp; Decision'!$A$7:$A$56,$A21,'Review &amp; Decision'!$D$7:$D$56,"&lt;&gt;")=1,IFERROR(INDEX('Review &amp; Decision'!$D$7:$D$56,MATCH($A21,'Review &amp; Decision'!$A$7:$A$56,0)),""),"")))&gt;0,LEN(TRIM(IF(COUNTIFS('Review &amp; Decision'!$A$7:$A$56,$A21,'Review &amp; Decision'!$F$7:$F$56,"&lt;&gt;")=1,IFERROR(INDEX('Review &amp; Decision'!$F$7:$F$56,MATCH($A21,'Review &amp; Decision'!$A$7:$A$56,0)),""),"")))&gt;0,OR(IFERROR(INDEX('Review &amp; Decision'!$C$7:$C$56,MATCH($A21,'Review &amp; Decision'!$A$7:$A$56,0)),"")&lt;&gt;"Accepted reduction",LEN(TRIM(IF(COUNTIFS('Review &amp; Decision'!$A$7:$A$56,$A21,'Review &amp; Decision'!$L$7:$L$56,"&lt;&gt;")=1,IFERROR(INDEX('Review &amp; Decision'!$L$7:$L$56,MATCH($A21,'Review &amp; Decision'!$A$7:$A$56,0)),""),"")))&gt;0)),1,0)</f>
        <v>0</v>
      </c>
      <c r="I21" s="14">
        <f>IF(AND(AG21=1,IFERROR(INDEX(Actuals!$M$7:$M$56,MATCH($A21,Actuals!$A$7:$A$56,0)),"")="Ready",IFERROR(INDEX(Actuals!$D$7:$D$56,MATCH($A21,Actuals!$A$7:$A$56,0)),"")&gt;=IFERROR(INDEX('Review &amp; Decision'!$I$7:$I$56,MATCH($A21,'Review &amp; Decision'!$A$7:$A$56,0)),"")),1,0)</f>
        <v>0</v>
      </c>
      <c r="J21" s="14" t="str">
        <f t="shared" si="0"/>
        <v>Unused slot</v>
      </c>
      <c r="K21" s="14">
        <f t="shared" si="1"/>
        <v>0</v>
      </c>
      <c r="L21" s="14">
        <f t="shared" si="2"/>
        <v>0</v>
      </c>
      <c r="M21" s="14">
        <f>IF(OR(L21=1,AND(K21=1,Settings!$B$8="Approved + measured")),1,0)</f>
        <v>0</v>
      </c>
      <c r="N21" s="14" t="str">
        <f>IF(E21=1,IFERROR(INDEX(Current!$H$7:$H$56,MATCH($A21,Current!$A$7:$A$56,0)),""),"")</f>
        <v/>
      </c>
      <c r="O21" s="14" t="str">
        <f>IF(F21=1,IFERROR(INDEX(Proposed!$I$7:$I$56,MATCH($A21,Proposed!$A$7:$A$56,0)),""),"")</f>
        <v/>
      </c>
      <c r="P21" s="14" t="str">
        <f t="shared" si="3"/>
        <v/>
      </c>
      <c r="Q21" s="14" t="str">
        <f>IF(E21=1,IFERROR(INDEX(Current!$I$7:$I$56,MATCH($A21,Current!$A$7:$A$56,0)),""),"")</f>
        <v/>
      </c>
      <c r="R21" s="14" t="str">
        <f>IF(F21=1,IFERROR(INDEX(Proposed!$J$7:$J$56,MATCH($A21,Proposed!$A$7:$A$56,0)),""),"")</f>
        <v/>
      </c>
      <c r="S21" s="14" t="str">
        <f t="shared" si="4"/>
        <v/>
      </c>
      <c r="T21" s="14" t="str">
        <f>IF(E21=1,IFERROR(INDEX(Current!$E$7:$E$56,MATCH($A21,Current!$A$7:$A$56,0)),""),"")</f>
        <v/>
      </c>
      <c r="U21" s="14" t="str">
        <f>IF(F21=1,IFERROR(INDEX(Proposed!$E$7:$E$56,MATCH($A21,Proposed!$A$7:$A$56,0)),""),"")</f>
        <v/>
      </c>
      <c r="V21" s="14" t="str">
        <f t="shared" si="5"/>
        <v/>
      </c>
      <c r="W21" s="14" t="str">
        <f>IF(E21=1,IFERROR(INDEX(Current!$K$7:$K$56,MATCH($A21,Current!$A$7:$A$56,0)),""),"")</f>
        <v/>
      </c>
      <c r="X21" s="14" t="str">
        <f>IF(F21=1,IFERROR(INDEX(Proposed!$L$7:$L$56,MATCH($A21,Proposed!$A$7:$A$56,0)),""),"")</f>
        <v/>
      </c>
      <c r="Y21" s="14" t="str">
        <f t="shared" si="6"/>
        <v/>
      </c>
      <c r="Z21" s="14" t="str">
        <f>IF(F21=1,IFERROR(INDEX(Proposed!$F$7:$F$56,MATCH($A21,Proposed!$A$7:$A$56,0)),""),"")</f>
        <v/>
      </c>
      <c r="AA21" s="14">
        <f>IF(M21=1,IF(IF(L21=1,AL21,P21)&gt;0,IF(L21=1,AL21,P21)*IFERROR(INDEX('Review &amp; Decision'!$J$7:$J$56,MATCH($A21,'Review &amp; Decision'!$A$7:$A$56,0)),""),IF(L21=1,AL21,P21)),0)</f>
        <v>0</v>
      </c>
      <c r="AB21" s="14">
        <f>IF(M21=1,IF(IF(L21=1,AM21,S21)&gt;0,IF(L21=1,AM21,S21)*IFERROR(INDEX('Review &amp; Decision'!$K$7:$K$56,MATCH($A21,'Review &amp; Decision'!$A$7:$A$56,0)),""),IF(L21=1,AM21,S21)),0)</f>
        <v>0</v>
      </c>
      <c r="AC21" s="14">
        <f t="shared" si="7"/>
        <v>0</v>
      </c>
      <c r="AD21" s="14">
        <f t="shared" si="8"/>
        <v>0</v>
      </c>
      <c r="AE21" s="14">
        <f t="shared" si="9"/>
        <v>0</v>
      </c>
      <c r="AF21" s="14" t="str">
        <f t="shared" si="10"/>
        <v>No measurement warning</v>
      </c>
      <c r="AG21" s="14">
        <f>IF(AND(COUNTIF(Cases!$A$7:$A$56,$A21)=1,COUNTIF(Current!$A$7:$A$56,$A21)=1,COUNTIF(Proposed!$A$7:$A$56,$A21)=1,COUNTIF('Review &amp; Decision'!$A$7:$A$56,$A21)=1,COUNTIF('Challenge Review'!$A$7:$A$56,$A21)=1,COUNTIF(Actuals!$A$7:$A$56,$A21)=1,COUNTIF(Classification!$A$7:$A$56,$A21)=1),1,0)</f>
        <v>1</v>
      </c>
      <c r="AH21" s="14">
        <f t="shared" si="11"/>
        <v>0</v>
      </c>
      <c r="AI21" s="14" t="str">
        <f>IF(COUNTIFS('Review &amp; Decision'!$A$7:$A$56,$A21,'Review &amp; Decision'!$H$7:$H$56,"&lt;&gt;")=1,IFERROR(INDEX('Review &amp; Decision'!$H$7:$H$56,MATCH($A21,'Review &amp; Decision'!$A$7:$A$56,0)),""),"")</f>
        <v/>
      </c>
      <c r="AJ21" s="14" t="str">
        <f>IF(COUNTIFS('Review &amp; Decision'!$A$7:$A$56,$A21,'Review &amp; Decision'!$E$7:$E$56,"&lt;&gt;")=1,IFERROR(INDEX('Review &amp; Decision'!$E$7:$E$56,MATCH($A21,'Review &amp; Decision'!$A$7:$A$56,0)),""),"")</f>
        <v/>
      </c>
      <c r="AK21" s="14" t="str">
        <f>IF(COUNTIFS('Review &amp; Decision'!$A$7:$A$56,$A21,'Review &amp; Decision'!$B$7:$B$56,"&lt;&gt;")=1,IFERROR(INDEX('Review &amp; Decision'!$B$7:$B$56,MATCH($A21,'Review &amp; Decision'!$A$7:$A$56,0)),""),"")</f>
        <v/>
      </c>
      <c r="AL21" s="14" t="str">
        <f>IF(I21=1,IFERROR(INDEX(Actuals!$E$7:$E$56,MATCH($A21,Actuals!$A$7:$A$56,0)),""),"")</f>
        <v/>
      </c>
      <c r="AM21" s="14" t="str">
        <f>IF(I21=1,IFERROR(INDEX(Actuals!$F$7:$F$56,MATCH($A21,Actuals!$A$7:$A$56,0)),""),"")</f>
        <v/>
      </c>
      <c r="AN21" s="14" t="str">
        <f>IF(I21=1,IFERROR(INDEX(Actuals!$G$7:$G$56,MATCH($A21,Actuals!$A$7:$A$56,0)),""),"")</f>
        <v/>
      </c>
      <c r="AO21" s="14" t="str">
        <f>IF(I21=1,IFERROR(INDEX(Actuals!$G$7:$G$56,MATCH($A21,Actuals!$A$7:$A$56,0)),"")+IFERROR(INDEX(Actuals!$H$7:$H$56,MATCH($A21,Actuals!$A$7:$A$56,0)),""),"")</f>
        <v/>
      </c>
      <c r="AP21" s="14" t="str">
        <f>IF(COUNTIFS(Cases!$A$7:$A$56,$A21,Cases!$G$7:$G$56,"&lt;&gt;")=1,IFERROR(INDEX(Cases!$G$7:$G$56,MATCH($A21,Cases!$A$7:$A$56,0)),""),"")</f>
        <v/>
      </c>
    </row>
    <row r="22" spans="1:42" ht="43.9" customHeight="1">
      <c r="A22" s="14" t="s">
        <v>113</v>
      </c>
      <c r="B22" s="14" t="str">
        <f>IF(COUNTIFS(Cases!$A$7:$A$56,$A22,Cases!$B$7:$B$56,"&lt;&gt;")=1,IFERROR(INDEX(Cases!$B$7:$B$56,MATCH($A22,Cases!$A$7:$A$56,0)),""),"")</f>
        <v>Inactive</v>
      </c>
      <c r="C22" s="14" t="str">
        <f>IF(COUNTIFS(Cases!$A$7:$A$56,$A22,Cases!$C$7:$C$56,"&lt;&gt;")=1,IFERROR(INDEX(Cases!$C$7:$C$56,MATCH($A22,Cases!$A$7:$A$56,0)),""),"")</f>
        <v/>
      </c>
      <c r="D22" s="14">
        <f>IF(AND(AG22=1,OR(B22="Example",B22="Live"),OR(AP22="Simplify",AP22="Replace",AP22="Reduce scope",AP22="Retire",AP22="Retain"),COUNTIFS(Cases!$A$7:$A$56,$A22,Cases!$C$7:$C$56,"&lt;&gt;")=1,COUNTIFS(Cases!$A$7:$A$56,$A22,Cases!$D$7:$D$56,"&lt;&gt;")=1,COUNTIFS(Cases!$A$7:$A$56,$A22,Cases!$E$7:$E$56,"&lt;&gt;")=1,COUNTIFS(Cases!$A$7:$A$56,$A22,Cases!$F$7:$F$56,"&lt;&gt;")=1,COUNTIFS(Cases!$A$7:$A$56,$A22,Cases!$H$7:$H$56,"&lt;&gt;")=1,COUNTIFS(Cases!$A$7:$A$56,$A22,Cases!$I$7:$I$56,"&lt;&gt;")=1,LEN(TRIM(IF(COUNTIFS(Cases!$A$7:$A$56,$A22,Cases!$C$7:$C$56,"&lt;&gt;")=1,IFERROR(INDEX(Cases!$C$7:$C$56,MATCH($A22,Cases!$A$7:$A$56,0)),""),"")))&gt;0,LEN(TRIM(IF(COUNTIFS(Cases!$A$7:$A$56,$A22,Cases!$D$7:$D$56,"&lt;&gt;")=1,IFERROR(INDEX(Cases!$D$7:$D$56,MATCH($A22,Cases!$A$7:$A$56,0)),""),"")))&gt;0,LEN(TRIM(IF(COUNTIFS(Cases!$A$7:$A$56,$A22,Cases!$E$7:$E$56,"&lt;&gt;")=1,IFERROR(INDEX(Cases!$E$7:$E$56,MATCH($A22,Cases!$A$7:$A$56,0)),""),"")))&gt;0,LEN(TRIM(IF(COUNTIFS(Cases!$A$7:$A$56,$A22,Cases!$F$7:$F$56,"&lt;&gt;")=1,IFERROR(INDEX(Cases!$F$7:$F$56,MATCH($A22,Cases!$A$7:$A$56,0)),""),"")))&gt;0,LEN(TRIM(IF(COUNTIFS(Cases!$A$7:$A$56,$A22,Cases!$H$7:$H$56,"&lt;&gt;")=1,IFERROR(INDEX(Cases!$H$7:$H$56,MATCH($A22,Cases!$A$7:$A$56,0)),""),"")))&gt;0,LEN(TRIM(IF(COUNTIFS(Cases!$A$7:$A$56,$A22,Cases!$I$7:$I$56,"&lt;&gt;")=1,IFERROR(INDEX(Cases!$I$7:$I$56,MATCH($A22,Cases!$A$7:$A$56,0)),""),"")))&gt;0),1,0)</f>
        <v>0</v>
      </c>
      <c r="E22" s="14">
        <f>IF(AND(AG22=1,IFERROR(INDEX(Current!$G$7:$G$56,MATCH($A22,Current!$A$7:$A$56,0)),"")="Ready"),1,0)</f>
        <v>0</v>
      </c>
      <c r="F22" s="14">
        <f>IF(AND(AG22=1,IFERROR(INDEX(Proposed!$H$7:$H$56,MATCH($A22,Proposed!$A$7:$A$56,0)),"")="Ready",OR(AP22&lt;&gt;"Retain",AND(IFERROR(INDEX(Current!$B$7:$B$56,MATCH($A22,Current!$A$7:$A$56,0)),"")=IFERROR(INDEX(Proposed!$B$7:$B$56,MATCH($A22,Proposed!$A$7:$A$56,0)),""),IFERROR(INDEX(Current!$C$7:$C$56,MATCH($A22,Current!$A$7:$A$56,0)),"")=IFERROR(INDEX(Proposed!$C$7:$C$56,MATCH($A22,Proposed!$A$7:$A$56,0)),""),IFERROR(INDEX(Current!$D$7:$D$56,MATCH($A22,Current!$A$7:$A$56,0)),"")=IFERROR(INDEX(Proposed!$D$7:$D$56,MATCH($A22,Proposed!$A$7:$A$56,0)),""),IFERROR(INDEX(Current!$E$7:$E$56,MATCH($A22,Current!$A$7:$A$56,0)),"")=IFERROR(INDEX(Proposed!$E$7:$E$56,MATCH($A22,Proposed!$A$7:$A$56,0)),"")))),1,0)</f>
        <v>0</v>
      </c>
      <c r="G22" s="14" t="str">
        <f>IF(COUNTIFS('Challenge Review'!$A$7:$A$56,$A22,'Challenge Review'!$K$7:$K$56,"&lt;&gt;")=1,IFERROR(INDEX('Challenge Review'!$K$7:$K$56,MATCH($A22,'Challenge Review'!$A$7:$A$56,0)),""),"")</f>
        <v>Unchecked</v>
      </c>
      <c r="H22" s="14">
        <f>IF(AND(AG22=1,IFERROR(INDEX('Review &amp; Decision'!$B$7:$B$56,MATCH($A22,'Review &amp; Decision'!$A$7:$A$56,0)),"")="Evidence-backed",OR(IFERROR(INDEX('Review &amp; Decision'!$C$7:$C$56,MATCH($A22,'Review &amp; Decision'!$A$7:$A$56,0)),"")="Equivalent or better",AND(IFERROR(INDEX('Review &amp; Decision'!$C$7:$C$56,MATCH($A22,'Review &amp; Decision'!$A$7:$A$56,0)),"")="Accepted reduction",COUNTIFS('Review &amp; Decision'!$A$7:$A$56,$A22,'Review &amp; Decision'!$L$7:$L$56,"&lt;&gt;")=1)),COUNTIFS('Review &amp; Decision'!$A$7:$A$56,$A22,'Review &amp; Decision'!$D$7:$D$56,"&lt;&gt;")=1,COUNTIFS('Review &amp; Decision'!$A$7:$A$56,$A22,'Review &amp; Decision'!$F$7:$F$56,"&lt;&gt;")=1,OR(IFERROR(INDEX('Review &amp; Decision'!$E$7:$E$56,MATCH($A22,'Review &amp; Decision'!$A$7:$A$56,0)),"")="Approved",IFERROR(INDEX('Review &amp; Decision'!$E$7:$E$56,MATCH($A22,'Review &amp; Decision'!$A$7:$A$56,0)),"")="Implemented"),ISNUMBER(IFERROR(INDEX('Review &amp; Decision'!$G$7:$G$56,MATCH($A22,'Review &amp; Decision'!$A$7:$A$56,0)),"")),IFERROR(INDEX('Review &amp; Decision'!$G$7:$G$56,MATCH($A22,'Review &amp; Decision'!$A$7:$A$56,0)),"")&gt;0,IFERROR(INDEX('Review &amp; Decision'!$G$7:$G$56,MATCH($A22,'Review &amp; Decision'!$A$7:$A$56,0)),"")&lt;=Settings!$B$7,ISNUMBER(IFERROR(INDEX('Review &amp; Decision'!$I$7:$I$56,MATCH($A22,'Review &amp; Decision'!$A$7:$A$56,0)),"")),IFERROR(INDEX('Review &amp; Decision'!$I$7:$I$56,MATCH($A22,'Review &amp; Decision'!$A$7:$A$56,0)),"")&gt;0,IFERROR(INDEX('Review &amp; Decision'!$I$7:$I$56,MATCH($A22,'Review &amp; Decision'!$A$7:$A$56,0)),"")&lt;=Settings!$B$7,IFERROR(INDEX('Review &amp; Decision'!$I$7:$I$56,MATCH($A22,'Review &amp; Decision'!$A$7:$A$56,0)),"")&gt;=IFERROR(INDEX('Review &amp; Decision'!$G$7:$G$56,MATCH($A22,'Review &amp; Decision'!$A$7:$A$56,0)),""),COUNTIFS('Review &amp; Decision'!$A$7:$A$56,$A22,'Review &amp; Decision'!$J$7:$J$56,"&lt;&gt;")=1,COUNTIFS('Review &amp; Decision'!$A$7:$A$56,$A22,'Review &amp; Decision'!$K$7:$K$56,"&lt;&gt;")=1,ISNUMBER(IFERROR(INDEX('Review &amp; Decision'!$J$7:$J$56,MATCH($A22,'Review &amp; Decision'!$A$7:$A$56,0)),"")),IFERROR(INDEX('Review &amp; Decision'!$J$7:$J$56,MATCH($A22,'Review &amp; Decision'!$A$7:$A$56,0)),"")&gt;=0,IFERROR(INDEX('Review &amp; Decision'!$J$7:$J$56,MATCH($A22,'Review &amp; Decision'!$A$7:$A$56,0)),"")&lt;=1,ISNUMBER(IFERROR(INDEX('Review &amp; Decision'!$K$7:$K$56,MATCH($A22,'Review &amp; Decision'!$A$7:$A$56,0)),"")),IFERROR(INDEX('Review &amp; Decision'!$K$7:$K$56,MATCH($A22,'Review &amp; Decision'!$A$7:$A$56,0)),"")&gt;=0,IFERROR(INDEX('Review &amp; Decision'!$K$7:$K$56,MATCH($A22,'Review &amp; Decision'!$A$7:$A$56,0)),"")&lt;=1,ISNUMBER(Settings!$B$7),Settings!$B$7&gt;0,OR(Settings!$B$8="Approved + measured",Settings!$B$8="Measured only"),LEN(TRIM(IF(COUNTIFS('Review &amp; Decision'!$A$7:$A$56,$A22,'Review &amp; Decision'!$D$7:$D$56,"&lt;&gt;")=1,IFERROR(INDEX('Review &amp; Decision'!$D$7:$D$56,MATCH($A22,'Review &amp; Decision'!$A$7:$A$56,0)),""),"")))&gt;0,LEN(TRIM(IF(COUNTIFS('Review &amp; Decision'!$A$7:$A$56,$A22,'Review &amp; Decision'!$F$7:$F$56,"&lt;&gt;")=1,IFERROR(INDEX('Review &amp; Decision'!$F$7:$F$56,MATCH($A22,'Review &amp; Decision'!$A$7:$A$56,0)),""),"")))&gt;0,OR(IFERROR(INDEX('Review &amp; Decision'!$C$7:$C$56,MATCH($A22,'Review &amp; Decision'!$A$7:$A$56,0)),"")&lt;&gt;"Accepted reduction",LEN(TRIM(IF(COUNTIFS('Review &amp; Decision'!$A$7:$A$56,$A22,'Review &amp; Decision'!$L$7:$L$56,"&lt;&gt;")=1,IFERROR(INDEX('Review &amp; Decision'!$L$7:$L$56,MATCH($A22,'Review &amp; Decision'!$A$7:$A$56,0)),""),"")))&gt;0)),1,0)</f>
        <v>0</v>
      </c>
      <c r="I22" s="14">
        <f>IF(AND(AG22=1,IFERROR(INDEX(Actuals!$M$7:$M$56,MATCH($A22,Actuals!$A$7:$A$56,0)),"")="Ready",IFERROR(INDEX(Actuals!$D$7:$D$56,MATCH($A22,Actuals!$A$7:$A$56,0)),"")&gt;=IFERROR(INDEX('Review &amp; Decision'!$I$7:$I$56,MATCH($A22,'Review &amp; Decision'!$A$7:$A$56,0)),"")),1,0)</f>
        <v>0</v>
      </c>
      <c r="J22" s="14" t="str">
        <f t="shared" si="0"/>
        <v>Unused slot</v>
      </c>
      <c r="K22" s="14">
        <f t="shared" si="1"/>
        <v>0</v>
      </c>
      <c r="L22" s="14">
        <f t="shared" si="2"/>
        <v>0</v>
      </c>
      <c r="M22" s="14">
        <f>IF(OR(L22=1,AND(K22=1,Settings!$B$8="Approved + measured")),1,0)</f>
        <v>0</v>
      </c>
      <c r="N22" s="14" t="str">
        <f>IF(E22=1,IFERROR(INDEX(Current!$H$7:$H$56,MATCH($A22,Current!$A$7:$A$56,0)),""),"")</f>
        <v/>
      </c>
      <c r="O22" s="14" t="str">
        <f>IF(F22=1,IFERROR(INDEX(Proposed!$I$7:$I$56,MATCH($A22,Proposed!$A$7:$A$56,0)),""),"")</f>
        <v/>
      </c>
      <c r="P22" s="14" t="str">
        <f t="shared" si="3"/>
        <v/>
      </c>
      <c r="Q22" s="14" t="str">
        <f>IF(E22=1,IFERROR(INDEX(Current!$I$7:$I$56,MATCH($A22,Current!$A$7:$A$56,0)),""),"")</f>
        <v/>
      </c>
      <c r="R22" s="14" t="str">
        <f>IF(F22=1,IFERROR(INDEX(Proposed!$J$7:$J$56,MATCH($A22,Proposed!$A$7:$A$56,0)),""),"")</f>
        <v/>
      </c>
      <c r="S22" s="14" t="str">
        <f t="shared" si="4"/>
        <v/>
      </c>
      <c r="T22" s="14" t="str">
        <f>IF(E22=1,IFERROR(INDEX(Current!$E$7:$E$56,MATCH($A22,Current!$A$7:$A$56,0)),""),"")</f>
        <v/>
      </c>
      <c r="U22" s="14" t="str">
        <f>IF(F22=1,IFERROR(INDEX(Proposed!$E$7:$E$56,MATCH($A22,Proposed!$A$7:$A$56,0)),""),"")</f>
        <v/>
      </c>
      <c r="V22" s="14" t="str">
        <f t="shared" si="5"/>
        <v/>
      </c>
      <c r="W22" s="14" t="str">
        <f>IF(E22=1,IFERROR(INDEX(Current!$K$7:$K$56,MATCH($A22,Current!$A$7:$A$56,0)),""),"")</f>
        <v/>
      </c>
      <c r="X22" s="14" t="str">
        <f>IF(F22=1,IFERROR(INDEX(Proposed!$L$7:$L$56,MATCH($A22,Proposed!$A$7:$A$56,0)),""),"")</f>
        <v/>
      </c>
      <c r="Y22" s="14" t="str">
        <f t="shared" si="6"/>
        <v/>
      </c>
      <c r="Z22" s="14" t="str">
        <f>IF(F22=1,IFERROR(INDEX(Proposed!$F$7:$F$56,MATCH($A22,Proposed!$A$7:$A$56,0)),""),"")</f>
        <v/>
      </c>
      <c r="AA22" s="14">
        <f>IF(M22=1,IF(IF(L22=1,AL22,P22)&gt;0,IF(L22=1,AL22,P22)*IFERROR(INDEX('Review &amp; Decision'!$J$7:$J$56,MATCH($A22,'Review &amp; Decision'!$A$7:$A$56,0)),""),IF(L22=1,AL22,P22)),0)</f>
        <v>0</v>
      </c>
      <c r="AB22" s="14">
        <f>IF(M22=1,IF(IF(L22=1,AM22,S22)&gt;0,IF(L22=1,AM22,S22)*IFERROR(INDEX('Review &amp; Decision'!$K$7:$K$56,MATCH($A22,'Review &amp; Decision'!$A$7:$A$56,0)),""),IF(L22=1,AM22,S22)),0)</f>
        <v>0</v>
      </c>
      <c r="AC22" s="14">
        <f t="shared" si="7"/>
        <v>0</v>
      </c>
      <c r="AD22" s="14">
        <f t="shared" si="8"/>
        <v>0</v>
      </c>
      <c r="AE22" s="14">
        <f t="shared" si="9"/>
        <v>0</v>
      </c>
      <c r="AF22" s="14" t="str">
        <f t="shared" si="10"/>
        <v>No measurement warning</v>
      </c>
      <c r="AG22" s="14">
        <f>IF(AND(COUNTIF(Cases!$A$7:$A$56,$A22)=1,COUNTIF(Current!$A$7:$A$56,$A22)=1,COUNTIF(Proposed!$A$7:$A$56,$A22)=1,COUNTIF('Review &amp; Decision'!$A$7:$A$56,$A22)=1,COUNTIF('Challenge Review'!$A$7:$A$56,$A22)=1,COUNTIF(Actuals!$A$7:$A$56,$A22)=1,COUNTIF(Classification!$A$7:$A$56,$A22)=1),1,0)</f>
        <v>1</v>
      </c>
      <c r="AH22" s="14">
        <f t="shared" si="11"/>
        <v>0</v>
      </c>
      <c r="AI22" s="14" t="str">
        <f>IF(COUNTIFS('Review &amp; Decision'!$A$7:$A$56,$A22,'Review &amp; Decision'!$H$7:$H$56,"&lt;&gt;")=1,IFERROR(INDEX('Review &amp; Decision'!$H$7:$H$56,MATCH($A22,'Review &amp; Decision'!$A$7:$A$56,0)),""),"")</f>
        <v/>
      </c>
      <c r="AJ22" s="14" t="str">
        <f>IF(COUNTIFS('Review &amp; Decision'!$A$7:$A$56,$A22,'Review &amp; Decision'!$E$7:$E$56,"&lt;&gt;")=1,IFERROR(INDEX('Review &amp; Decision'!$E$7:$E$56,MATCH($A22,'Review &amp; Decision'!$A$7:$A$56,0)),""),"")</f>
        <v/>
      </c>
      <c r="AK22" s="14" t="str">
        <f>IF(COUNTIFS('Review &amp; Decision'!$A$7:$A$56,$A22,'Review &amp; Decision'!$B$7:$B$56,"&lt;&gt;")=1,IFERROR(INDEX('Review &amp; Decision'!$B$7:$B$56,MATCH($A22,'Review &amp; Decision'!$A$7:$A$56,0)),""),"")</f>
        <v/>
      </c>
      <c r="AL22" s="14" t="str">
        <f>IF(I22=1,IFERROR(INDEX(Actuals!$E$7:$E$56,MATCH($A22,Actuals!$A$7:$A$56,0)),""),"")</f>
        <v/>
      </c>
      <c r="AM22" s="14" t="str">
        <f>IF(I22=1,IFERROR(INDEX(Actuals!$F$7:$F$56,MATCH($A22,Actuals!$A$7:$A$56,0)),""),"")</f>
        <v/>
      </c>
      <c r="AN22" s="14" t="str">
        <f>IF(I22=1,IFERROR(INDEX(Actuals!$G$7:$G$56,MATCH($A22,Actuals!$A$7:$A$56,0)),""),"")</f>
        <v/>
      </c>
      <c r="AO22" s="14" t="str">
        <f>IF(I22=1,IFERROR(INDEX(Actuals!$G$7:$G$56,MATCH($A22,Actuals!$A$7:$A$56,0)),"")+IFERROR(INDEX(Actuals!$H$7:$H$56,MATCH($A22,Actuals!$A$7:$A$56,0)),""),"")</f>
        <v/>
      </c>
      <c r="AP22" s="14" t="str">
        <f>IF(COUNTIFS(Cases!$A$7:$A$56,$A22,Cases!$G$7:$G$56,"&lt;&gt;")=1,IFERROR(INDEX(Cases!$G$7:$G$56,MATCH($A22,Cases!$A$7:$A$56,0)),""),"")</f>
        <v/>
      </c>
    </row>
    <row r="23" spans="1:42" ht="43.9" customHeight="1">
      <c r="A23" s="14" t="s">
        <v>114</v>
      </c>
      <c r="B23" s="14" t="str">
        <f>IF(COUNTIFS(Cases!$A$7:$A$56,$A23,Cases!$B$7:$B$56,"&lt;&gt;")=1,IFERROR(INDEX(Cases!$B$7:$B$56,MATCH($A23,Cases!$A$7:$A$56,0)),""),"")</f>
        <v>Inactive</v>
      </c>
      <c r="C23" s="14" t="str">
        <f>IF(COUNTIFS(Cases!$A$7:$A$56,$A23,Cases!$C$7:$C$56,"&lt;&gt;")=1,IFERROR(INDEX(Cases!$C$7:$C$56,MATCH($A23,Cases!$A$7:$A$56,0)),""),"")</f>
        <v/>
      </c>
      <c r="D23" s="14">
        <f>IF(AND(AG23=1,OR(B23="Example",B23="Live"),OR(AP23="Simplify",AP23="Replace",AP23="Reduce scope",AP23="Retire",AP23="Retain"),COUNTIFS(Cases!$A$7:$A$56,$A23,Cases!$C$7:$C$56,"&lt;&gt;")=1,COUNTIFS(Cases!$A$7:$A$56,$A23,Cases!$D$7:$D$56,"&lt;&gt;")=1,COUNTIFS(Cases!$A$7:$A$56,$A23,Cases!$E$7:$E$56,"&lt;&gt;")=1,COUNTIFS(Cases!$A$7:$A$56,$A23,Cases!$F$7:$F$56,"&lt;&gt;")=1,COUNTIFS(Cases!$A$7:$A$56,$A23,Cases!$H$7:$H$56,"&lt;&gt;")=1,COUNTIFS(Cases!$A$7:$A$56,$A23,Cases!$I$7:$I$56,"&lt;&gt;")=1,LEN(TRIM(IF(COUNTIFS(Cases!$A$7:$A$56,$A23,Cases!$C$7:$C$56,"&lt;&gt;")=1,IFERROR(INDEX(Cases!$C$7:$C$56,MATCH($A23,Cases!$A$7:$A$56,0)),""),"")))&gt;0,LEN(TRIM(IF(COUNTIFS(Cases!$A$7:$A$56,$A23,Cases!$D$7:$D$56,"&lt;&gt;")=1,IFERROR(INDEX(Cases!$D$7:$D$56,MATCH($A23,Cases!$A$7:$A$56,0)),""),"")))&gt;0,LEN(TRIM(IF(COUNTIFS(Cases!$A$7:$A$56,$A23,Cases!$E$7:$E$56,"&lt;&gt;")=1,IFERROR(INDEX(Cases!$E$7:$E$56,MATCH($A23,Cases!$A$7:$A$56,0)),""),"")))&gt;0,LEN(TRIM(IF(COUNTIFS(Cases!$A$7:$A$56,$A23,Cases!$F$7:$F$56,"&lt;&gt;")=1,IFERROR(INDEX(Cases!$F$7:$F$56,MATCH($A23,Cases!$A$7:$A$56,0)),""),"")))&gt;0,LEN(TRIM(IF(COUNTIFS(Cases!$A$7:$A$56,$A23,Cases!$H$7:$H$56,"&lt;&gt;")=1,IFERROR(INDEX(Cases!$H$7:$H$56,MATCH($A23,Cases!$A$7:$A$56,0)),""),"")))&gt;0,LEN(TRIM(IF(COUNTIFS(Cases!$A$7:$A$56,$A23,Cases!$I$7:$I$56,"&lt;&gt;")=1,IFERROR(INDEX(Cases!$I$7:$I$56,MATCH($A23,Cases!$A$7:$A$56,0)),""),"")))&gt;0),1,0)</f>
        <v>0</v>
      </c>
      <c r="E23" s="14">
        <f>IF(AND(AG23=1,IFERROR(INDEX(Current!$G$7:$G$56,MATCH($A23,Current!$A$7:$A$56,0)),"")="Ready"),1,0)</f>
        <v>0</v>
      </c>
      <c r="F23" s="14">
        <f>IF(AND(AG23=1,IFERROR(INDEX(Proposed!$H$7:$H$56,MATCH($A23,Proposed!$A$7:$A$56,0)),"")="Ready",OR(AP23&lt;&gt;"Retain",AND(IFERROR(INDEX(Current!$B$7:$B$56,MATCH($A23,Current!$A$7:$A$56,0)),"")=IFERROR(INDEX(Proposed!$B$7:$B$56,MATCH($A23,Proposed!$A$7:$A$56,0)),""),IFERROR(INDEX(Current!$C$7:$C$56,MATCH($A23,Current!$A$7:$A$56,0)),"")=IFERROR(INDEX(Proposed!$C$7:$C$56,MATCH($A23,Proposed!$A$7:$A$56,0)),""),IFERROR(INDEX(Current!$D$7:$D$56,MATCH($A23,Current!$A$7:$A$56,0)),"")=IFERROR(INDEX(Proposed!$D$7:$D$56,MATCH($A23,Proposed!$A$7:$A$56,0)),""),IFERROR(INDEX(Current!$E$7:$E$56,MATCH($A23,Current!$A$7:$A$56,0)),"")=IFERROR(INDEX(Proposed!$E$7:$E$56,MATCH($A23,Proposed!$A$7:$A$56,0)),"")))),1,0)</f>
        <v>0</v>
      </c>
      <c r="G23" s="14" t="str">
        <f>IF(COUNTIFS('Challenge Review'!$A$7:$A$56,$A23,'Challenge Review'!$K$7:$K$56,"&lt;&gt;")=1,IFERROR(INDEX('Challenge Review'!$K$7:$K$56,MATCH($A23,'Challenge Review'!$A$7:$A$56,0)),""),"")</f>
        <v>Unchecked</v>
      </c>
      <c r="H23" s="14">
        <f>IF(AND(AG23=1,IFERROR(INDEX('Review &amp; Decision'!$B$7:$B$56,MATCH($A23,'Review &amp; Decision'!$A$7:$A$56,0)),"")="Evidence-backed",OR(IFERROR(INDEX('Review &amp; Decision'!$C$7:$C$56,MATCH($A23,'Review &amp; Decision'!$A$7:$A$56,0)),"")="Equivalent or better",AND(IFERROR(INDEX('Review &amp; Decision'!$C$7:$C$56,MATCH($A23,'Review &amp; Decision'!$A$7:$A$56,0)),"")="Accepted reduction",COUNTIFS('Review &amp; Decision'!$A$7:$A$56,$A23,'Review &amp; Decision'!$L$7:$L$56,"&lt;&gt;")=1)),COUNTIFS('Review &amp; Decision'!$A$7:$A$56,$A23,'Review &amp; Decision'!$D$7:$D$56,"&lt;&gt;")=1,COUNTIFS('Review &amp; Decision'!$A$7:$A$56,$A23,'Review &amp; Decision'!$F$7:$F$56,"&lt;&gt;")=1,OR(IFERROR(INDEX('Review &amp; Decision'!$E$7:$E$56,MATCH($A23,'Review &amp; Decision'!$A$7:$A$56,0)),"")="Approved",IFERROR(INDEX('Review &amp; Decision'!$E$7:$E$56,MATCH($A23,'Review &amp; Decision'!$A$7:$A$56,0)),"")="Implemented"),ISNUMBER(IFERROR(INDEX('Review &amp; Decision'!$G$7:$G$56,MATCH($A23,'Review &amp; Decision'!$A$7:$A$56,0)),"")),IFERROR(INDEX('Review &amp; Decision'!$G$7:$G$56,MATCH($A23,'Review &amp; Decision'!$A$7:$A$56,0)),"")&gt;0,IFERROR(INDEX('Review &amp; Decision'!$G$7:$G$56,MATCH($A23,'Review &amp; Decision'!$A$7:$A$56,0)),"")&lt;=Settings!$B$7,ISNUMBER(IFERROR(INDEX('Review &amp; Decision'!$I$7:$I$56,MATCH($A23,'Review &amp; Decision'!$A$7:$A$56,0)),"")),IFERROR(INDEX('Review &amp; Decision'!$I$7:$I$56,MATCH($A23,'Review &amp; Decision'!$A$7:$A$56,0)),"")&gt;0,IFERROR(INDEX('Review &amp; Decision'!$I$7:$I$56,MATCH($A23,'Review &amp; Decision'!$A$7:$A$56,0)),"")&lt;=Settings!$B$7,IFERROR(INDEX('Review &amp; Decision'!$I$7:$I$56,MATCH($A23,'Review &amp; Decision'!$A$7:$A$56,0)),"")&gt;=IFERROR(INDEX('Review &amp; Decision'!$G$7:$G$56,MATCH($A23,'Review &amp; Decision'!$A$7:$A$56,0)),""),COUNTIFS('Review &amp; Decision'!$A$7:$A$56,$A23,'Review &amp; Decision'!$J$7:$J$56,"&lt;&gt;")=1,COUNTIFS('Review &amp; Decision'!$A$7:$A$56,$A23,'Review &amp; Decision'!$K$7:$K$56,"&lt;&gt;")=1,ISNUMBER(IFERROR(INDEX('Review &amp; Decision'!$J$7:$J$56,MATCH($A23,'Review &amp; Decision'!$A$7:$A$56,0)),"")),IFERROR(INDEX('Review &amp; Decision'!$J$7:$J$56,MATCH($A23,'Review &amp; Decision'!$A$7:$A$56,0)),"")&gt;=0,IFERROR(INDEX('Review &amp; Decision'!$J$7:$J$56,MATCH($A23,'Review &amp; Decision'!$A$7:$A$56,0)),"")&lt;=1,ISNUMBER(IFERROR(INDEX('Review &amp; Decision'!$K$7:$K$56,MATCH($A23,'Review &amp; Decision'!$A$7:$A$56,0)),"")),IFERROR(INDEX('Review &amp; Decision'!$K$7:$K$56,MATCH($A23,'Review &amp; Decision'!$A$7:$A$56,0)),"")&gt;=0,IFERROR(INDEX('Review &amp; Decision'!$K$7:$K$56,MATCH($A23,'Review &amp; Decision'!$A$7:$A$56,0)),"")&lt;=1,ISNUMBER(Settings!$B$7),Settings!$B$7&gt;0,OR(Settings!$B$8="Approved + measured",Settings!$B$8="Measured only"),LEN(TRIM(IF(COUNTIFS('Review &amp; Decision'!$A$7:$A$56,$A23,'Review &amp; Decision'!$D$7:$D$56,"&lt;&gt;")=1,IFERROR(INDEX('Review &amp; Decision'!$D$7:$D$56,MATCH($A23,'Review &amp; Decision'!$A$7:$A$56,0)),""),"")))&gt;0,LEN(TRIM(IF(COUNTIFS('Review &amp; Decision'!$A$7:$A$56,$A23,'Review &amp; Decision'!$F$7:$F$56,"&lt;&gt;")=1,IFERROR(INDEX('Review &amp; Decision'!$F$7:$F$56,MATCH($A23,'Review &amp; Decision'!$A$7:$A$56,0)),""),"")))&gt;0,OR(IFERROR(INDEX('Review &amp; Decision'!$C$7:$C$56,MATCH($A23,'Review &amp; Decision'!$A$7:$A$56,0)),"")&lt;&gt;"Accepted reduction",LEN(TRIM(IF(COUNTIFS('Review &amp; Decision'!$A$7:$A$56,$A23,'Review &amp; Decision'!$L$7:$L$56,"&lt;&gt;")=1,IFERROR(INDEX('Review &amp; Decision'!$L$7:$L$56,MATCH($A23,'Review &amp; Decision'!$A$7:$A$56,0)),""),"")))&gt;0)),1,0)</f>
        <v>0</v>
      </c>
      <c r="I23" s="14">
        <f>IF(AND(AG23=1,IFERROR(INDEX(Actuals!$M$7:$M$56,MATCH($A23,Actuals!$A$7:$A$56,0)),"")="Ready",IFERROR(INDEX(Actuals!$D$7:$D$56,MATCH($A23,Actuals!$A$7:$A$56,0)),"")&gt;=IFERROR(INDEX('Review &amp; Decision'!$I$7:$I$56,MATCH($A23,'Review &amp; Decision'!$A$7:$A$56,0)),"")),1,0)</f>
        <v>0</v>
      </c>
      <c r="J23" s="14" t="str">
        <f t="shared" si="0"/>
        <v>Unused slot</v>
      </c>
      <c r="K23" s="14">
        <f t="shared" si="1"/>
        <v>0</v>
      </c>
      <c r="L23" s="14">
        <f t="shared" si="2"/>
        <v>0</v>
      </c>
      <c r="M23" s="14">
        <f>IF(OR(L23=1,AND(K23=1,Settings!$B$8="Approved + measured")),1,0)</f>
        <v>0</v>
      </c>
      <c r="N23" s="14" t="str">
        <f>IF(E23=1,IFERROR(INDEX(Current!$H$7:$H$56,MATCH($A23,Current!$A$7:$A$56,0)),""),"")</f>
        <v/>
      </c>
      <c r="O23" s="14" t="str">
        <f>IF(F23=1,IFERROR(INDEX(Proposed!$I$7:$I$56,MATCH($A23,Proposed!$A$7:$A$56,0)),""),"")</f>
        <v/>
      </c>
      <c r="P23" s="14" t="str">
        <f t="shared" si="3"/>
        <v/>
      </c>
      <c r="Q23" s="14" t="str">
        <f>IF(E23=1,IFERROR(INDEX(Current!$I$7:$I$56,MATCH($A23,Current!$A$7:$A$56,0)),""),"")</f>
        <v/>
      </c>
      <c r="R23" s="14" t="str">
        <f>IF(F23=1,IFERROR(INDEX(Proposed!$J$7:$J$56,MATCH($A23,Proposed!$A$7:$A$56,0)),""),"")</f>
        <v/>
      </c>
      <c r="S23" s="14" t="str">
        <f t="shared" si="4"/>
        <v/>
      </c>
      <c r="T23" s="14" t="str">
        <f>IF(E23=1,IFERROR(INDEX(Current!$E$7:$E$56,MATCH($A23,Current!$A$7:$A$56,0)),""),"")</f>
        <v/>
      </c>
      <c r="U23" s="14" t="str">
        <f>IF(F23=1,IFERROR(INDEX(Proposed!$E$7:$E$56,MATCH($A23,Proposed!$A$7:$A$56,0)),""),"")</f>
        <v/>
      </c>
      <c r="V23" s="14" t="str">
        <f t="shared" si="5"/>
        <v/>
      </c>
      <c r="W23" s="14" t="str">
        <f>IF(E23=1,IFERROR(INDEX(Current!$K$7:$K$56,MATCH($A23,Current!$A$7:$A$56,0)),""),"")</f>
        <v/>
      </c>
      <c r="X23" s="14" t="str">
        <f>IF(F23=1,IFERROR(INDEX(Proposed!$L$7:$L$56,MATCH($A23,Proposed!$A$7:$A$56,0)),""),"")</f>
        <v/>
      </c>
      <c r="Y23" s="14" t="str">
        <f t="shared" si="6"/>
        <v/>
      </c>
      <c r="Z23" s="14" t="str">
        <f>IF(F23=1,IFERROR(INDEX(Proposed!$F$7:$F$56,MATCH($A23,Proposed!$A$7:$A$56,0)),""),"")</f>
        <v/>
      </c>
      <c r="AA23" s="14">
        <f>IF(M23=1,IF(IF(L23=1,AL23,P23)&gt;0,IF(L23=1,AL23,P23)*IFERROR(INDEX('Review &amp; Decision'!$J$7:$J$56,MATCH($A23,'Review &amp; Decision'!$A$7:$A$56,0)),""),IF(L23=1,AL23,P23)),0)</f>
        <v>0</v>
      </c>
      <c r="AB23" s="14">
        <f>IF(M23=1,IF(IF(L23=1,AM23,S23)&gt;0,IF(L23=1,AM23,S23)*IFERROR(INDEX('Review &amp; Decision'!$K$7:$K$56,MATCH($A23,'Review &amp; Decision'!$A$7:$A$56,0)),""),IF(L23=1,AM23,S23)),0)</f>
        <v>0</v>
      </c>
      <c r="AC23" s="14">
        <f t="shared" si="7"/>
        <v>0</v>
      </c>
      <c r="AD23" s="14">
        <f t="shared" si="8"/>
        <v>0</v>
      </c>
      <c r="AE23" s="14">
        <f t="shared" si="9"/>
        <v>0</v>
      </c>
      <c r="AF23" s="14" t="str">
        <f t="shared" si="10"/>
        <v>No measurement warning</v>
      </c>
      <c r="AG23" s="14">
        <f>IF(AND(COUNTIF(Cases!$A$7:$A$56,$A23)=1,COUNTIF(Current!$A$7:$A$56,$A23)=1,COUNTIF(Proposed!$A$7:$A$56,$A23)=1,COUNTIF('Review &amp; Decision'!$A$7:$A$56,$A23)=1,COUNTIF('Challenge Review'!$A$7:$A$56,$A23)=1,COUNTIF(Actuals!$A$7:$A$56,$A23)=1,COUNTIF(Classification!$A$7:$A$56,$A23)=1),1,0)</f>
        <v>1</v>
      </c>
      <c r="AH23" s="14">
        <f t="shared" si="11"/>
        <v>0</v>
      </c>
      <c r="AI23" s="14" t="str">
        <f>IF(COUNTIFS('Review &amp; Decision'!$A$7:$A$56,$A23,'Review &amp; Decision'!$H$7:$H$56,"&lt;&gt;")=1,IFERROR(INDEX('Review &amp; Decision'!$H$7:$H$56,MATCH($A23,'Review &amp; Decision'!$A$7:$A$56,0)),""),"")</f>
        <v/>
      </c>
      <c r="AJ23" s="14" t="str">
        <f>IF(COUNTIFS('Review &amp; Decision'!$A$7:$A$56,$A23,'Review &amp; Decision'!$E$7:$E$56,"&lt;&gt;")=1,IFERROR(INDEX('Review &amp; Decision'!$E$7:$E$56,MATCH($A23,'Review &amp; Decision'!$A$7:$A$56,0)),""),"")</f>
        <v/>
      </c>
      <c r="AK23" s="14" t="str">
        <f>IF(COUNTIFS('Review &amp; Decision'!$A$7:$A$56,$A23,'Review &amp; Decision'!$B$7:$B$56,"&lt;&gt;")=1,IFERROR(INDEX('Review &amp; Decision'!$B$7:$B$56,MATCH($A23,'Review &amp; Decision'!$A$7:$A$56,0)),""),"")</f>
        <v/>
      </c>
      <c r="AL23" s="14" t="str">
        <f>IF(I23=1,IFERROR(INDEX(Actuals!$E$7:$E$56,MATCH($A23,Actuals!$A$7:$A$56,0)),""),"")</f>
        <v/>
      </c>
      <c r="AM23" s="14" t="str">
        <f>IF(I23=1,IFERROR(INDEX(Actuals!$F$7:$F$56,MATCH($A23,Actuals!$A$7:$A$56,0)),""),"")</f>
        <v/>
      </c>
      <c r="AN23" s="14" t="str">
        <f>IF(I23=1,IFERROR(INDEX(Actuals!$G$7:$G$56,MATCH($A23,Actuals!$A$7:$A$56,0)),""),"")</f>
        <v/>
      </c>
      <c r="AO23" s="14" t="str">
        <f>IF(I23=1,IFERROR(INDEX(Actuals!$G$7:$G$56,MATCH($A23,Actuals!$A$7:$A$56,0)),"")+IFERROR(INDEX(Actuals!$H$7:$H$56,MATCH($A23,Actuals!$A$7:$A$56,0)),""),"")</f>
        <v/>
      </c>
      <c r="AP23" s="14" t="str">
        <f>IF(COUNTIFS(Cases!$A$7:$A$56,$A23,Cases!$G$7:$G$56,"&lt;&gt;")=1,IFERROR(INDEX(Cases!$G$7:$G$56,MATCH($A23,Cases!$A$7:$A$56,0)),""),"")</f>
        <v/>
      </c>
    </row>
    <row r="24" spans="1:42" ht="43.9" customHeight="1">
      <c r="A24" s="14" t="s">
        <v>115</v>
      </c>
      <c r="B24" s="14" t="str">
        <f>IF(COUNTIFS(Cases!$A$7:$A$56,$A24,Cases!$B$7:$B$56,"&lt;&gt;")=1,IFERROR(INDEX(Cases!$B$7:$B$56,MATCH($A24,Cases!$A$7:$A$56,0)),""),"")</f>
        <v>Inactive</v>
      </c>
      <c r="C24" s="14" t="str">
        <f>IF(COUNTIFS(Cases!$A$7:$A$56,$A24,Cases!$C$7:$C$56,"&lt;&gt;")=1,IFERROR(INDEX(Cases!$C$7:$C$56,MATCH($A24,Cases!$A$7:$A$56,0)),""),"")</f>
        <v/>
      </c>
      <c r="D24" s="14">
        <f>IF(AND(AG24=1,OR(B24="Example",B24="Live"),OR(AP24="Simplify",AP24="Replace",AP24="Reduce scope",AP24="Retire",AP24="Retain"),COUNTIFS(Cases!$A$7:$A$56,$A24,Cases!$C$7:$C$56,"&lt;&gt;")=1,COUNTIFS(Cases!$A$7:$A$56,$A24,Cases!$D$7:$D$56,"&lt;&gt;")=1,COUNTIFS(Cases!$A$7:$A$56,$A24,Cases!$E$7:$E$56,"&lt;&gt;")=1,COUNTIFS(Cases!$A$7:$A$56,$A24,Cases!$F$7:$F$56,"&lt;&gt;")=1,COUNTIFS(Cases!$A$7:$A$56,$A24,Cases!$H$7:$H$56,"&lt;&gt;")=1,COUNTIFS(Cases!$A$7:$A$56,$A24,Cases!$I$7:$I$56,"&lt;&gt;")=1,LEN(TRIM(IF(COUNTIFS(Cases!$A$7:$A$56,$A24,Cases!$C$7:$C$56,"&lt;&gt;")=1,IFERROR(INDEX(Cases!$C$7:$C$56,MATCH($A24,Cases!$A$7:$A$56,0)),""),"")))&gt;0,LEN(TRIM(IF(COUNTIFS(Cases!$A$7:$A$56,$A24,Cases!$D$7:$D$56,"&lt;&gt;")=1,IFERROR(INDEX(Cases!$D$7:$D$56,MATCH($A24,Cases!$A$7:$A$56,0)),""),"")))&gt;0,LEN(TRIM(IF(COUNTIFS(Cases!$A$7:$A$56,$A24,Cases!$E$7:$E$56,"&lt;&gt;")=1,IFERROR(INDEX(Cases!$E$7:$E$56,MATCH($A24,Cases!$A$7:$A$56,0)),""),"")))&gt;0,LEN(TRIM(IF(COUNTIFS(Cases!$A$7:$A$56,$A24,Cases!$F$7:$F$56,"&lt;&gt;")=1,IFERROR(INDEX(Cases!$F$7:$F$56,MATCH($A24,Cases!$A$7:$A$56,0)),""),"")))&gt;0,LEN(TRIM(IF(COUNTIFS(Cases!$A$7:$A$56,$A24,Cases!$H$7:$H$56,"&lt;&gt;")=1,IFERROR(INDEX(Cases!$H$7:$H$56,MATCH($A24,Cases!$A$7:$A$56,0)),""),"")))&gt;0,LEN(TRIM(IF(COUNTIFS(Cases!$A$7:$A$56,$A24,Cases!$I$7:$I$56,"&lt;&gt;")=1,IFERROR(INDEX(Cases!$I$7:$I$56,MATCH($A24,Cases!$A$7:$A$56,0)),""),"")))&gt;0),1,0)</f>
        <v>0</v>
      </c>
      <c r="E24" s="14">
        <f>IF(AND(AG24=1,IFERROR(INDEX(Current!$G$7:$G$56,MATCH($A24,Current!$A$7:$A$56,0)),"")="Ready"),1,0)</f>
        <v>0</v>
      </c>
      <c r="F24" s="14">
        <f>IF(AND(AG24=1,IFERROR(INDEX(Proposed!$H$7:$H$56,MATCH($A24,Proposed!$A$7:$A$56,0)),"")="Ready",OR(AP24&lt;&gt;"Retain",AND(IFERROR(INDEX(Current!$B$7:$B$56,MATCH($A24,Current!$A$7:$A$56,0)),"")=IFERROR(INDEX(Proposed!$B$7:$B$56,MATCH($A24,Proposed!$A$7:$A$56,0)),""),IFERROR(INDEX(Current!$C$7:$C$56,MATCH($A24,Current!$A$7:$A$56,0)),"")=IFERROR(INDEX(Proposed!$C$7:$C$56,MATCH($A24,Proposed!$A$7:$A$56,0)),""),IFERROR(INDEX(Current!$D$7:$D$56,MATCH($A24,Current!$A$7:$A$56,0)),"")=IFERROR(INDEX(Proposed!$D$7:$D$56,MATCH($A24,Proposed!$A$7:$A$56,0)),""),IFERROR(INDEX(Current!$E$7:$E$56,MATCH($A24,Current!$A$7:$A$56,0)),"")=IFERROR(INDEX(Proposed!$E$7:$E$56,MATCH($A24,Proposed!$A$7:$A$56,0)),"")))),1,0)</f>
        <v>0</v>
      </c>
      <c r="G24" s="14" t="str">
        <f>IF(COUNTIFS('Challenge Review'!$A$7:$A$56,$A24,'Challenge Review'!$K$7:$K$56,"&lt;&gt;")=1,IFERROR(INDEX('Challenge Review'!$K$7:$K$56,MATCH($A24,'Challenge Review'!$A$7:$A$56,0)),""),"")</f>
        <v>Unchecked</v>
      </c>
      <c r="H24" s="14">
        <f>IF(AND(AG24=1,IFERROR(INDEX('Review &amp; Decision'!$B$7:$B$56,MATCH($A24,'Review &amp; Decision'!$A$7:$A$56,0)),"")="Evidence-backed",OR(IFERROR(INDEX('Review &amp; Decision'!$C$7:$C$56,MATCH($A24,'Review &amp; Decision'!$A$7:$A$56,0)),"")="Equivalent or better",AND(IFERROR(INDEX('Review &amp; Decision'!$C$7:$C$56,MATCH($A24,'Review &amp; Decision'!$A$7:$A$56,0)),"")="Accepted reduction",COUNTIFS('Review &amp; Decision'!$A$7:$A$56,$A24,'Review &amp; Decision'!$L$7:$L$56,"&lt;&gt;")=1)),COUNTIFS('Review &amp; Decision'!$A$7:$A$56,$A24,'Review &amp; Decision'!$D$7:$D$56,"&lt;&gt;")=1,COUNTIFS('Review &amp; Decision'!$A$7:$A$56,$A24,'Review &amp; Decision'!$F$7:$F$56,"&lt;&gt;")=1,OR(IFERROR(INDEX('Review &amp; Decision'!$E$7:$E$56,MATCH($A24,'Review &amp; Decision'!$A$7:$A$56,0)),"")="Approved",IFERROR(INDEX('Review &amp; Decision'!$E$7:$E$56,MATCH($A24,'Review &amp; Decision'!$A$7:$A$56,0)),"")="Implemented"),ISNUMBER(IFERROR(INDEX('Review &amp; Decision'!$G$7:$G$56,MATCH($A24,'Review &amp; Decision'!$A$7:$A$56,0)),"")),IFERROR(INDEX('Review &amp; Decision'!$G$7:$G$56,MATCH($A24,'Review &amp; Decision'!$A$7:$A$56,0)),"")&gt;0,IFERROR(INDEX('Review &amp; Decision'!$G$7:$G$56,MATCH($A24,'Review &amp; Decision'!$A$7:$A$56,0)),"")&lt;=Settings!$B$7,ISNUMBER(IFERROR(INDEX('Review &amp; Decision'!$I$7:$I$56,MATCH($A24,'Review &amp; Decision'!$A$7:$A$56,0)),"")),IFERROR(INDEX('Review &amp; Decision'!$I$7:$I$56,MATCH($A24,'Review &amp; Decision'!$A$7:$A$56,0)),"")&gt;0,IFERROR(INDEX('Review &amp; Decision'!$I$7:$I$56,MATCH($A24,'Review &amp; Decision'!$A$7:$A$56,0)),"")&lt;=Settings!$B$7,IFERROR(INDEX('Review &amp; Decision'!$I$7:$I$56,MATCH($A24,'Review &amp; Decision'!$A$7:$A$56,0)),"")&gt;=IFERROR(INDEX('Review &amp; Decision'!$G$7:$G$56,MATCH($A24,'Review &amp; Decision'!$A$7:$A$56,0)),""),COUNTIFS('Review &amp; Decision'!$A$7:$A$56,$A24,'Review &amp; Decision'!$J$7:$J$56,"&lt;&gt;")=1,COUNTIFS('Review &amp; Decision'!$A$7:$A$56,$A24,'Review &amp; Decision'!$K$7:$K$56,"&lt;&gt;")=1,ISNUMBER(IFERROR(INDEX('Review &amp; Decision'!$J$7:$J$56,MATCH($A24,'Review &amp; Decision'!$A$7:$A$56,0)),"")),IFERROR(INDEX('Review &amp; Decision'!$J$7:$J$56,MATCH($A24,'Review &amp; Decision'!$A$7:$A$56,0)),"")&gt;=0,IFERROR(INDEX('Review &amp; Decision'!$J$7:$J$56,MATCH($A24,'Review &amp; Decision'!$A$7:$A$56,0)),"")&lt;=1,ISNUMBER(IFERROR(INDEX('Review &amp; Decision'!$K$7:$K$56,MATCH($A24,'Review &amp; Decision'!$A$7:$A$56,0)),"")),IFERROR(INDEX('Review &amp; Decision'!$K$7:$K$56,MATCH($A24,'Review &amp; Decision'!$A$7:$A$56,0)),"")&gt;=0,IFERROR(INDEX('Review &amp; Decision'!$K$7:$K$56,MATCH($A24,'Review &amp; Decision'!$A$7:$A$56,0)),"")&lt;=1,ISNUMBER(Settings!$B$7),Settings!$B$7&gt;0,OR(Settings!$B$8="Approved + measured",Settings!$B$8="Measured only"),LEN(TRIM(IF(COUNTIFS('Review &amp; Decision'!$A$7:$A$56,$A24,'Review &amp; Decision'!$D$7:$D$56,"&lt;&gt;")=1,IFERROR(INDEX('Review &amp; Decision'!$D$7:$D$56,MATCH($A24,'Review &amp; Decision'!$A$7:$A$56,0)),""),"")))&gt;0,LEN(TRIM(IF(COUNTIFS('Review &amp; Decision'!$A$7:$A$56,$A24,'Review &amp; Decision'!$F$7:$F$56,"&lt;&gt;")=1,IFERROR(INDEX('Review &amp; Decision'!$F$7:$F$56,MATCH($A24,'Review &amp; Decision'!$A$7:$A$56,0)),""),"")))&gt;0,OR(IFERROR(INDEX('Review &amp; Decision'!$C$7:$C$56,MATCH($A24,'Review &amp; Decision'!$A$7:$A$56,0)),"")&lt;&gt;"Accepted reduction",LEN(TRIM(IF(COUNTIFS('Review &amp; Decision'!$A$7:$A$56,$A24,'Review &amp; Decision'!$L$7:$L$56,"&lt;&gt;")=1,IFERROR(INDEX('Review &amp; Decision'!$L$7:$L$56,MATCH($A24,'Review &amp; Decision'!$A$7:$A$56,0)),""),"")))&gt;0)),1,0)</f>
        <v>0</v>
      </c>
      <c r="I24" s="14">
        <f>IF(AND(AG24=1,IFERROR(INDEX(Actuals!$M$7:$M$56,MATCH($A24,Actuals!$A$7:$A$56,0)),"")="Ready",IFERROR(INDEX(Actuals!$D$7:$D$56,MATCH($A24,Actuals!$A$7:$A$56,0)),"")&gt;=IFERROR(INDEX('Review &amp; Decision'!$I$7:$I$56,MATCH($A24,'Review &amp; Decision'!$A$7:$A$56,0)),"")),1,0)</f>
        <v>0</v>
      </c>
      <c r="J24" s="14" t="str">
        <f t="shared" si="0"/>
        <v>Unused slot</v>
      </c>
      <c r="K24" s="14">
        <f t="shared" si="1"/>
        <v>0</v>
      </c>
      <c r="L24" s="14">
        <f t="shared" si="2"/>
        <v>0</v>
      </c>
      <c r="M24" s="14">
        <f>IF(OR(L24=1,AND(K24=1,Settings!$B$8="Approved + measured")),1,0)</f>
        <v>0</v>
      </c>
      <c r="N24" s="14" t="str">
        <f>IF(E24=1,IFERROR(INDEX(Current!$H$7:$H$56,MATCH($A24,Current!$A$7:$A$56,0)),""),"")</f>
        <v/>
      </c>
      <c r="O24" s="14" t="str">
        <f>IF(F24=1,IFERROR(INDEX(Proposed!$I$7:$I$56,MATCH($A24,Proposed!$A$7:$A$56,0)),""),"")</f>
        <v/>
      </c>
      <c r="P24" s="14" t="str">
        <f t="shared" si="3"/>
        <v/>
      </c>
      <c r="Q24" s="14" t="str">
        <f>IF(E24=1,IFERROR(INDEX(Current!$I$7:$I$56,MATCH($A24,Current!$A$7:$A$56,0)),""),"")</f>
        <v/>
      </c>
      <c r="R24" s="14" t="str">
        <f>IF(F24=1,IFERROR(INDEX(Proposed!$J$7:$J$56,MATCH($A24,Proposed!$A$7:$A$56,0)),""),"")</f>
        <v/>
      </c>
      <c r="S24" s="14" t="str">
        <f t="shared" si="4"/>
        <v/>
      </c>
      <c r="T24" s="14" t="str">
        <f>IF(E24=1,IFERROR(INDEX(Current!$E$7:$E$56,MATCH($A24,Current!$A$7:$A$56,0)),""),"")</f>
        <v/>
      </c>
      <c r="U24" s="14" t="str">
        <f>IF(F24=1,IFERROR(INDEX(Proposed!$E$7:$E$56,MATCH($A24,Proposed!$A$7:$A$56,0)),""),"")</f>
        <v/>
      </c>
      <c r="V24" s="14" t="str">
        <f t="shared" si="5"/>
        <v/>
      </c>
      <c r="W24" s="14" t="str">
        <f>IF(E24=1,IFERROR(INDEX(Current!$K$7:$K$56,MATCH($A24,Current!$A$7:$A$56,0)),""),"")</f>
        <v/>
      </c>
      <c r="X24" s="14" t="str">
        <f>IF(F24=1,IFERROR(INDEX(Proposed!$L$7:$L$56,MATCH($A24,Proposed!$A$7:$A$56,0)),""),"")</f>
        <v/>
      </c>
      <c r="Y24" s="14" t="str">
        <f t="shared" si="6"/>
        <v/>
      </c>
      <c r="Z24" s="14" t="str">
        <f>IF(F24=1,IFERROR(INDEX(Proposed!$F$7:$F$56,MATCH($A24,Proposed!$A$7:$A$56,0)),""),"")</f>
        <v/>
      </c>
      <c r="AA24" s="14">
        <f>IF(M24=1,IF(IF(L24=1,AL24,P24)&gt;0,IF(L24=1,AL24,P24)*IFERROR(INDEX('Review &amp; Decision'!$J$7:$J$56,MATCH($A24,'Review &amp; Decision'!$A$7:$A$56,0)),""),IF(L24=1,AL24,P24)),0)</f>
        <v>0</v>
      </c>
      <c r="AB24" s="14">
        <f>IF(M24=1,IF(IF(L24=1,AM24,S24)&gt;0,IF(L24=1,AM24,S24)*IFERROR(INDEX('Review &amp; Decision'!$K$7:$K$56,MATCH($A24,'Review &amp; Decision'!$A$7:$A$56,0)),""),IF(L24=1,AM24,S24)),0)</f>
        <v>0</v>
      </c>
      <c r="AC24" s="14">
        <f t="shared" si="7"/>
        <v>0</v>
      </c>
      <c r="AD24" s="14">
        <f t="shared" si="8"/>
        <v>0</v>
      </c>
      <c r="AE24" s="14">
        <f t="shared" si="9"/>
        <v>0</v>
      </c>
      <c r="AF24" s="14" t="str">
        <f t="shared" si="10"/>
        <v>No measurement warning</v>
      </c>
      <c r="AG24" s="14">
        <f>IF(AND(COUNTIF(Cases!$A$7:$A$56,$A24)=1,COUNTIF(Current!$A$7:$A$56,$A24)=1,COUNTIF(Proposed!$A$7:$A$56,$A24)=1,COUNTIF('Review &amp; Decision'!$A$7:$A$56,$A24)=1,COUNTIF('Challenge Review'!$A$7:$A$56,$A24)=1,COUNTIF(Actuals!$A$7:$A$56,$A24)=1,COUNTIF(Classification!$A$7:$A$56,$A24)=1),1,0)</f>
        <v>1</v>
      </c>
      <c r="AH24" s="14">
        <f t="shared" si="11"/>
        <v>0</v>
      </c>
      <c r="AI24" s="14" t="str">
        <f>IF(COUNTIFS('Review &amp; Decision'!$A$7:$A$56,$A24,'Review &amp; Decision'!$H$7:$H$56,"&lt;&gt;")=1,IFERROR(INDEX('Review &amp; Decision'!$H$7:$H$56,MATCH($A24,'Review &amp; Decision'!$A$7:$A$56,0)),""),"")</f>
        <v/>
      </c>
      <c r="AJ24" s="14" t="str">
        <f>IF(COUNTIFS('Review &amp; Decision'!$A$7:$A$56,$A24,'Review &amp; Decision'!$E$7:$E$56,"&lt;&gt;")=1,IFERROR(INDEX('Review &amp; Decision'!$E$7:$E$56,MATCH($A24,'Review &amp; Decision'!$A$7:$A$56,0)),""),"")</f>
        <v/>
      </c>
      <c r="AK24" s="14" t="str">
        <f>IF(COUNTIFS('Review &amp; Decision'!$A$7:$A$56,$A24,'Review &amp; Decision'!$B$7:$B$56,"&lt;&gt;")=1,IFERROR(INDEX('Review &amp; Decision'!$B$7:$B$56,MATCH($A24,'Review &amp; Decision'!$A$7:$A$56,0)),""),"")</f>
        <v/>
      </c>
      <c r="AL24" s="14" t="str">
        <f>IF(I24=1,IFERROR(INDEX(Actuals!$E$7:$E$56,MATCH($A24,Actuals!$A$7:$A$56,0)),""),"")</f>
        <v/>
      </c>
      <c r="AM24" s="14" t="str">
        <f>IF(I24=1,IFERROR(INDEX(Actuals!$F$7:$F$56,MATCH($A24,Actuals!$A$7:$A$56,0)),""),"")</f>
        <v/>
      </c>
      <c r="AN24" s="14" t="str">
        <f>IF(I24=1,IFERROR(INDEX(Actuals!$G$7:$G$56,MATCH($A24,Actuals!$A$7:$A$56,0)),""),"")</f>
        <v/>
      </c>
      <c r="AO24" s="14" t="str">
        <f>IF(I24=1,IFERROR(INDEX(Actuals!$G$7:$G$56,MATCH($A24,Actuals!$A$7:$A$56,0)),"")+IFERROR(INDEX(Actuals!$H$7:$H$56,MATCH($A24,Actuals!$A$7:$A$56,0)),""),"")</f>
        <v/>
      </c>
      <c r="AP24" s="14" t="str">
        <f>IF(COUNTIFS(Cases!$A$7:$A$56,$A24,Cases!$G$7:$G$56,"&lt;&gt;")=1,IFERROR(INDEX(Cases!$G$7:$G$56,MATCH($A24,Cases!$A$7:$A$56,0)),""),"")</f>
        <v/>
      </c>
    </row>
    <row r="25" spans="1:42" ht="43.9" customHeight="1">
      <c r="A25" s="14" t="s">
        <v>116</v>
      </c>
      <c r="B25" s="14" t="str">
        <f>IF(COUNTIFS(Cases!$A$7:$A$56,$A25,Cases!$B$7:$B$56,"&lt;&gt;")=1,IFERROR(INDEX(Cases!$B$7:$B$56,MATCH($A25,Cases!$A$7:$A$56,0)),""),"")</f>
        <v>Inactive</v>
      </c>
      <c r="C25" s="14" t="str">
        <f>IF(COUNTIFS(Cases!$A$7:$A$56,$A25,Cases!$C$7:$C$56,"&lt;&gt;")=1,IFERROR(INDEX(Cases!$C$7:$C$56,MATCH($A25,Cases!$A$7:$A$56,0)),""),"")</f>
        <v/>
      </c>
      <c r="D25" s="14">
        <f>IF(AND(AG25=1,OR(B25="Example",B25="Live"),OR(AP25="Simplify",AP25="Replace",AP25="Reduce scope",AP25="Retire",AP25="Retain"),COUNTIFS(Cases!$A$7:$A$56,$A25,Cases!$C$7:$C$56,"&lt;&gt;")=1,COUNTIFS(Cases!$A$7:$A$56,$A25,Cases!$D$7:$D$56,"&lt;&gt;")=1,COUNTIFS(Cases!$A$7:$A$56,$A25,Cases!$E$7:$E$56,"&lt;&gt;")=1,COUNTIFS(Cases!$A$7:$A$56,$A25,Cases!$F$7:$F$56,"&lt;&gt;")=1,COUNTIFS(Cases!$A$7:$A$56,$A25,Cases!$H$7:$H$56,"&lt;&gt;")=1,COUNTIFS(Cases!$A$7:$A$56,$A25,Cases!$I$7:$I$56,"&lt;&gt;")=1,LEN(TRIM(IF(COUNTIFS(Cases!$A$7:$A$56,$A25,Cases!$C$7:$C$56,"&lt;&gt;")=1,IFERROR(INDEX(Cases!$C$7:$C$56,MATCH($A25,Cases!$A$7:$A$56,0)),""),"")))&gt;0,LEN(TRIM(IF(COUNTIFS(Cases!$A$7:$A$56,$A25,Cases!$D$7:$D$56,"&lt;&gt;")=1,IFERROR(INDEX(Cases!$D$7:$D$56,MATCH($A25,Cases!$A$7:$A$56,0)),""),"")))&gt;0,LEN(TRIM(IF(COUNTIFS(Cases!$A$7:$A$56,$A25,Cases!$E$7:$E$56,"&lt;&gt;")=1,IFERROR(INDEX(Cases!$E$7:$E$56,MATCH($A25,Cases!$A$7:$A$56,0)),""),"")))&gt;0,LEN(TRIM(IF(COUNTIFS(Cases!$A$7:$A$56,$A25,Cases!$F$7:$F$56,"&lt;&gt;")=1,IFERROR(INDEX(Cases!$F$7:$F$56,MATCH($A25,Cases!$A$7:$A$56,0)),""),"")))&gt;0,LEN(TRIM(IF(COUNTIFS(Cases!$A$7:$A$56,$A25,Cases!$H$7:$H$56,"&lt;&gt;")=1,IFERROR(INDEX(Cases!$H$7:$H$56,MATCH($A25,Cases!$A$7:$A$56,0)),""),"")))&gt;0,LEN(TRIM(IF(COUNTIFS(Cases!$A$7:$A$56,$A25,Cases!$I$7:$I$56,"&lt;&gt;")=1,IFERROR(INDEX(Cases!$I$7:$I$56,MATCH($A25,Cases!$A$7:$A$56,0)),""),"")))&gt;0),1,0)</f>
        <v>0</v>
      </c>
      <c r="E25" s="14">
        <f>IF(AND(AG25=1,IFERROR(INDEX(Current!$G$7:$G$56,MATCH($A25,Current!$A$7:$A$56,0)),"")="Ready"),1,0)</f>
        <v>0</v>
      </c>
      <c r="F25" s="14">
        <f>IF(AND(AG25=1,IFERROR(INDEX(Proposed!$H$7:$H$56,MATCH($A25,Proposed!$A$7:$A$56,0)),"")="Ready",OR(AP25&lt;&gt;"Retain",AND(IFERROR(INDEX(Current!$B$7:$B$56,MATCH($A25,Current!$A$7:$A$56,0)),"")=IFERROR(INDEX(Proposed!$B$7:$B$56,MATCH($A25,Proposed!$A$7:$A$56,0)),""),IFERROR(INDEX(Current!$C$7:$C$56,MATCH($A25,Current!$A$7:$A$56,0)),"")=IFERROR(INDEX(Proposed!$C$7:$C$56,MATCH($A25,Proposed!$A$7:$A$56,0)),""),IFERROR(INDEX(Current!$D$7:$D$56,MATCH($A25,Current!$A$7:$A$56,0)),"")=IFERROR(INDEX(Proposed!$D$7:$D$56,MATCH($A25,Proposed!$A$7:$A$56,0)),""),IFERROR(INDEX(Current!$E$7:$E$56,MATCH($A25,Current!$A$7:$A$56,0)),"")=IFERROR(INDEX(Proposed!$E$7:$E$56,MATCH($A25,Proposed!$A$7:$A$56,0)),"")))),1,0)</f>
        <v>0</v>
      </c>
      <c r="G25" s="14" t="str">
        <f>IF(COUNTIFS('Challenge Review'!$A$7:$A$56,$A25,'Challenge Review'!$K$7:$K$56,"&lt;&gt;")=1,IFERROR(INDEX('Challenge Review'!$K$7:$K$56,MATCH($A25,'Challenge Review'!$A$7:$A$56,0)),""),"")</f>
        <v>Unchecked</v>
      </c>
      <c r="H25" s="14">
        <f>IF(AND(AG25=1,IFERROR(INDEX('Review &amp; Decision'!$B$7:$B$56,MATCH($A25,'Review &amp; Decision'!$A$7:$A$56,0)),"")="Evidence-backed",OR(IFERROR(INDEX('Review &amp; Decision'!$C$7:$C$56,MATCH($A25,'Review &amp; Decision'!$A$7:$A$56,0)),"")="Equivalent or better",AND(IFERROR(INDEX('Review &amp; Decision'!$C$7:$C$56,MATCH($A25,'Review &amp; Decision'!$A$7:$A$56,0)),"")="Accepted reduction",COUNTIFS('Review &amp; Decision'!$A$7:$A$56,$A25,'Review &amp; Decision'!$L$7:$L$56,"&lt;&gt;")=1)),COUNTIFS('Review &amp; Decision'!$A$7:$A$56,$A25,'Review &amp; Decision'!$D$7:$D$56,"&lt;&gt;")=1,COUNTIFS('Review &amp; Decision'!$A$7:$A$56,$A25,'Review &amp; Decision'!$F$7:$F$56,"&lt;&gt;")=1,OR(IFERROR(INDEX('Review &amp; Decision'!$E$7:$E$56,MATCH($A25,'Review &amp; Decision'!$A$7:$A$56,0)),"")="Approved",IFERROR(INDEX('Review &amp; Decision'!$E$7:$E$56,MATCH($A25,'Review &amp; Decision'!$A$7:$A$56,0)),"")="Implemented"),ISNUMBER(IFERROR(INDEX('Review &amp; Decision'!$G$7:$G$56,MATCH($A25,'Review &amp; Decision'!$A$7:$A$56,0)),"")),IFERROR(INDEX('Review &amp; Decision'!$G$7:$G$56,MATCH($A25,'Review &amp; Decision'!$A$7:$A$56,0)),"")&gt;0,IFERROR(INDEX('Review &amp; Decision'!$G$7:$G$56,MATCH($A25,'Review &amp; Decision'!$A$7:$A$56,0)),"")&lt;=Settings!$B$7,ISNUMBER(IFERROR(INDEX('Review &amp; Decision'!$I$7:$I$56,MATCH($A25,'Review &amp; Decision'!$A$7:$A$56,0)),"")),IFERROR(INDEX('Review &amp; Decision'!$I$7:$I$56,MATCH($A25,'Review &amp; Decision'!$A$7:$A$56,0)),"")&gt;0,IFERROR(INDEX('Review &amp; Decision'!$I$7:$I$56,MATCH($A25,'Review &amp; Decision'!$A$7:$A$56,0)),"")&lt;=Settings!$B$7,IFERROR(INDEX('Review &amp; Decision'!$I$7:$I$56,MATCH($A25,'Review &amp; Decision'!$A$7:$A$56,0)),"")&gt;=IFERROR(INDEX('Review &amp; Decision'!$G$7:$G$56,MATCH($A25,'Review &amp; Decision'!$A$7:$A$56,0)),""),COUNTIFS('Review &amp; Decision'!$A$7:$A$56,$A25,'Review &amp; Decision'!$J$7:$J$56,"&lt;&gt;")=1,COUNTIFS('Review &amp; Decision'!$A$7:$A$56,$A25,'Review &amp; Decision'!$K$7:$K$56,"&lt;&gt;")=1,ISNUMBER(IFERROR(INDEX('Review &amp; Decision'!$J$7:$J$56,MATCH($A25,'Review &amp; Decision'!$A$7:$A$56,0)),"")),IFERROR(INDEX('Review &amp; Decision'!$J$7:$J$56,MATCH($A25,'Review &amp; Decision'!$A$7:$A$56,0)),"")&gt;=0,IFERROR(INDEX('Review &amp; Decision'!$J$7:$J$56,MATCH($A25,'Review &amp; Decision'!$A$7:$A$56,0)),"")&lt;=1,ISNUMBER(IFERROR(INDEX('Review &amp; Decision'!$K$7:$K$56,MATCH($A25,'Review &amp; Decision'!$A$7:$A$56,0)),"")),IFERROR(INDEX('Review &amp; Decision'!$K$7:$K$56,MATCH($A25,'Review &amp; Decision'!$A$7:$A$56,0)),"")&gt;=0,IFERROR(INDEX('Review &amp; Decision'!$K$7:$K$56,MATCH($A25,'Review &amp; Decision'!$A$7:$A$56,0)),"")&lt;=1,ISNUMBER(Settings!$B$7),Settings!$B$7&gt;0,OR(Settings!$B$8="Approved + measured",Settings!$B$8="Measured only"),LEN(TRIM(IF(COUNTIFS('Review &amp; Decision'!$A$7:$A$56,$A25,'Review &amp; Decision'!$D$7:$D$56,"&lt;&gt;")=1,IFERROR(INDEX('Review &amp; Decision'!$D$7:$D$56,MATCH($A25,'Review &amp; Decision'!$A$7:$A$56,0)),""),"")))&gt;0,LEN(TRIM(IF(COUNTIFS('Review &amp; Decision'!$A$7:$A$56,$A25,'Review &amp; Decision'!$F$7:$F$56,"&lt;&gt;")=1,IFERROR(INDEX('Review &amp; Decision'!$F$7:$F$56,MATCH($A25,'Review &amp; Decision'!$A$7:$A$56,0)),""),"")))&gt;0,OR(IFERROR(INDEX('Review &amp; Decision'!$C$7:$C$56,MATCH($A25,'Review &amp; Decision'!$A$7:$A$56,0)),"")&lt;&gt;"Accepted reduction",LEN(TRIM(IF(COUNTIFS('Review &amp; Decision'!$A$7:$A$56,$A25,'Review &amp; Decision'!$L$7:$L$56,"&lt;&gt;")=1,IFERROR(INDEX('Review &amp; Decision'!$L$7:$L$56,MATCH($A25,'Review &amp; Decision'!$A$7:$A$56,0)),""),"")))&gt;0)),1,0)</f>
        <v>0</v>
      </c>
      <c r="I25" s="14">
        <f>IF(AND(AG25=1,IFERROR(INDEX(Actuals!$M$7:$M$56,MATCH($A25,Actuals!$A$7:$A$56,0)),"")="Ready",IFERROR(INDEX(Actuals!$D$7:$D$56,MATCH($A25,Actuals!$A$7:$A$56,0)),"")&gt;=IFERROR(INDEX('Review &amp; Decision'!$I$7:$I$56,MATCH($A25,'Review &amp; Decision'!$A$7:$A$56,0)),"")),1,0)</f>
        <v>0</v>
      </c>
      <c r="J25" s="14" t="str">
        <f t="shared" si="0"/>
        <v>Unused slot</v>
      </c>
      <c r="K25" s="14">
        <f t="shared" si="1"/>
        <v>0</v>
      </c>
      <c r="L25" s="14">
        <f t="shared" si="2"/>
        <v>0</v>
      </c>
      <c r="M25" s="14">
        <f>IF(OR(L25=1,AND(K25=1,Settings!$B$8="Approved + measured")),1,0)</f>
        <v>0</v>
      </c>
      <c r="N25" s="14" t="str">
        <f>IF(E25=1,IFERROR(INDEX(Current!$H$7:$H$56,MATCH($A25,Current!$A$7:$A$56,0)),""),"")</f>
        <v/>
      </c>
      <c r="O25" s="14" t="str">
        <f>IF(F25=1,IFERROR(INDEX(Proposed!$I$7:$I$56,MATCH($A25,Proposed!$A$7:$A$56,0)),""),"")</f>
        <v/>
      </c>
      <c r="P25" s="14" t="str">
        <f t="shared" si="3"/>
        <v/>
      </c>
      <c r="Q25" s="14" t="str">
        <f>IF(E25=1,IFERROR(INDEX(Current!$I$7:$I$56,MATCH($A25,Current!$A$7:$A$56,0)),""),"")</f>
        <v/>
      </c>
      <c r="R25" s="14" t="str">
        <f>IF(F25=1,IFERROR(INDEX(Proposed!$J$7:$J$56,MATCH($A25,Proposed!$A$7:$A$56,0)),""),"")</f>
        <v/>
      </c>
      <c r="S25" s="14" t="str">
        <f t="shared" si="4"/>
        <v/>
      </c>
      <c r="T25" s="14" t="str">
        <f>IF(E25=1,IFERROR(INDEX(Current!$E$7:$E$56,MATCH($A25,Current!$A$7:$A$56,0)),""),"")</f>
        <v/>
      </c>
      <c r="U25" s="14" t="str">
        <f>IF(F25=1,IFERROR(INDEX(Proposed!$E$7:$E$56,MATCH($A25,Proposed!$A$7:$A$56,0)),""),"")</f>
        <v/>
      </c>
      <c r="V25" s="14" t="str">
        <f t="shared" si="5"/>
        <v/>
      </c>
      <c r="W25" s="14" t="str">
        <f>IF(E25=1,IFERROR(INDEX(Current!$K$7:$K$56,MATCH($A25,Current!$A$7:$A$56,0)),""),"")</f>
        <v/>
      </c>
      <c r="X25" s="14" t="str">
        <f>IF(F25=1,IFERROR(INDEX(Proposed!$L$7:$L$56,MATCH($A25,Proposed!$A$7:$A$56,0)),""),"")</f>
        <v/>
      </c>
      <c r="Y25" s="14" t="str">
        <f t="shared" si="6"/>
        <v/>
      </c>
      <c r="Z25" s="14" t="str">
        <f>IF(F25=1,IFERROR(INDEX(Proposed!$F$7:$F$56,MATCH($A25,Proposed!$A$7:$A$56,0)),""),"")</f>
        <v/>
      </c>
      <c r="AA25" s="14">
        <f>IF(M25=1,IF(IF(L25=1,AL25,P25)&gt;0,IF(L25=1,AL25,P25)*IFERROR(INDEX('Review &amp; Decision'!$J$7:$J$56,MATCH($A25,'Review &amp; Decision'!$A$7:$A$56,0)),""),IF(L25=1,AL25,P25)),0)</f>
        <v>0</v>
      </c>
      <c r="AB25" s="14">
        <f>IF(M25=1,IF(IF(L25=1,AM25,S25)&gt;0,IF(L25=1,AM25,S25)*IFERROR(INDEX('Review &amp; Decision'!$K$7:$K$56,MATCH($A25,'Review &amp; Decision'!$A$7:$A$56,0)),""),IF(L25=1,AM25,S25)),0)</f>
        <v>0</v>
      </c>
      <c r="AC25" s="14">
        <f t="shared" si="7"/>
        <v>0</v>
      </c>
      <c r="AD25" s="14">
        <f t="shared" si="8"/>
        <v>0</v>
      </c>
      <c r="AE25" s="14">
        <f t="shared" si="9"/>
        <v>0</v>
      </c>
      <c r="AF25" s="14" t="str">
        <f t="shared" si="10"/>
        <v>No measurement warning</v>
      </c>
      <c r="AG25" s="14">
        <f>IF(AND(COUNTIF(Cases!$A$7:$A$56,$A25)=1,COUNTIF(Current!$A$7:$A$56,$A25)=1,COUNTIF(Proposed!$A$7:$A$56,$A25)=1,COUNTIF('Review &amp; Decision'!$A$7:$A$56,$A25)=1,COUNTIF('Challenge Review'!$A$7:$A$56,$A25)=1,COUNTIF(Actuals!$A$7:$A$56,$A25)=1,COUNTIF(Classification!$A$7:$A$56,$A25)=1),1,0)</f>
        <v>1</v>
      </c>
      <c r="AH25" s="14">
        <f t="shared" si="11"/>
        <v>0</v>
      </c>
      <c r="AI25" s="14" t="str">
        <f>IF(COUNTIFS('Review &amp; Decision'!$A$7:$A$56,$A25,'Review &amp; Decision'!$H$7:$H$56,"&lt;&gt;")=1,IFERROR(INDEX('Review &amp; Decision'!$H$7:$H$56,MATCH($A25,'Review &amp; Decision'!$A$7:$A$56,0)),""),"")</f>
        <v/>
      </c>
      <c r="AJ25" s="14" t="str">
        <f>IF(COUNTIFS('Review &amp; Decision'!$A$7:$A$56,$A25,'Review &amp; Decision'!$E$7:$E$56,"&lt;&gt;")=1,IFERROR(INDEX('Review &amp; Decision'!$E$7:$E$56,MATCH($A25,'Review &amp; Decision'!$A$7:$A$56,0)),""),"")</f>
        <v/>
      </c>
      <c r="AK25" s="14" t="str">
        <f>IF(COUNTIFS('Review &amp; Decision'!$A$7:$A$56,$A25,'Review &amp; Decision'!$B$7:$B$56,"&lt;&gt;")=1,IFERROR(INDEX('Review &amp; Decision'!$B$7:$B$56,MATCH($A25,'Review &amp; Decision'!$A$7:$A$56,0)),""),"")</f>
        <v/>
      </c>
      <c r="AL25" s="14" t="str">
        <f>IF(I25=1,IFERROR(INDEX(Actuals!$E$7:$E$56,MATCH($A25,Actuals!$A$7:$A$56,0)),""),"")</f>
        <v/>
      </c>
      <c r="AM25" s="14" t="str">
        <f>IF(I25=1,IFERROR(INDEX(Actuals!$F$7:$F$56,MATCH($A25,Actuals!$A$7:$A$56,0)),""),"")</f>
        <v/>
      </c>
      <c r="AN25" s="14" t="str">
        <f>IF(I25=1,IFERROR(INDEX(Actuals!$G$7:$G$56,MATCH($A25,Actuals!$A$7:$A$56,0)),""),"")</f>
        <v/>
      </c>
      <c r="AO25" s="14" t="str">
        <f>IF(I25=1,IFERROR(INDEX(Actuals!$G$7:$G$56,MATCH($A25,Actuals!$A$7:$A$56,0)),"")+IFERROR(INDEX(Actuals!$H$7:$H$56,MATCH($A25,Actuals!$A$7:$A$56,0)),""),"")</f>
        <v/>
      </c>
      <c r="AP25" s="14" t="str">
        <f>IF(COUNTIFS(Cases!$A$7:$A$56,$A25,Cases!$G$7:$G$56,"&lt;&gt;")=1,IFERROR(INDEX(Cases!$G$7:$G$56,MATCH($A25,Cases!$A$7:$A$56,0)),""),"")</f>
        <v/>
      </c>
    </row>
    <row r="26" spans="1:42" ht="43.9" customHeight="1">
      <c r="A26" s="14" t="s">
        <v>117</v>
      </c>
      <c r="B26" s="14" t="str">
        <f>IF(COUNTIFS(Cases!$A$7:$A$56,$A26,Cases!$B$7:$B$56,"&lt;&gt;")=1,IFERROR(INDEX(Cases!$B$7:$B$56,MATCH($A26,Cases!$A$7:$A$56,0)),""),"")</f>
        <v>Inactive</v>
      </c>
      <c r="C26" s="14" t="str">
        <f>IF(COUNTIFS(Cases!$A$7:$A$56,$A26,Cases!$C$7:$C$56,"&lt;&gt;")=1,IFERROR(INDEX(Cases!$C$7:$C$56,MATCH($A26,Cases!$A$7:$A$56,0)),""),"")</f>
        <v/>
      </c>
      <c r="D26" s="14">
        <f>IF(AND(AG26=1,OR(B26="Example",B26="Live"),OR(AP26="Simplify",AP26="Replace",AP26="Reduce scope",AP26="Retire",AP26="Retain"),COUNTIFS(Cases!$A$7:$A$56,$A26,Cases!$C$7:$C$56,"&lt;&gt;")=1,COUNTIFS(Cases!$A$7:$A$56,$A26,Cases!$D$7:$D$56,"&lt;&gt;")=1,COUNTIFS(Cases!$A$7:$A$56,$A26,Cases!$E$7:$E$56,"&lt;&gt;")=1,COUNTIFS(Cases!$A$7:$A$56,$A26,Cases!$F$7:$F$56,"&lt;&gt;")=1,COUNTIFS(Cases!$A$7:$A$56,$A26,Cases!$H$7:$H$56,"&lt;&gt;")=1,COUNTIFS(Cases!$A$7:$A$56,$A26,Cases!$I$7:$I$56,"&lt;&gt;")=1,LEN(TRIM(IF(COUNTIFS(Cases!$A$7:$A$56,$A26,Cases!$C$7:$C$56,"&lt;&gt;")=1,IFERROR(INDEX(Cases!$C$7:$C$56,MATCH($A26,Cases!$A$7:$A$56,0)),""),"")))&gt;0,LEN(TRIM(IF(COUNTIFS(Cases!$A$7:$A$56,$A26,Cases!$D$7:$D$56,"&lt;&gt;")=1,IFERROR(INDEX(Cases!$D$7:$D$56,MATCH($A26,Cases!$A$7:$A$56,0)),""),"")))&gt;0,LEN(TRIM(IF(COUNTIFS(Cases!$A$7:$A$56,$A26,Cases!$E$7:$E$56,"&lt;&gt;")=1,IFERROR(INDEX(Cases!$E$7:$E$56,MATCH($A26,Cases!$A$7:$A$56,0)),""),"")))&gt;0,LEN(TRIM(IF(COUNTIFS(Cases!$A$7:$A$56,$A26,Cases!$F$7:$F$56,"&lt;&gt;")=1,IFERROR(INDEX(Cases!$F$7:$F$56,MATCH($A26,Cases!$A$7:$A$56,0)),""),"")))&gt;0,LEN(TRIM(IF(COUNTIFS(Cases!$A$7:$A$56,$A26,Cases!$H$7:$H$56,"&lt;&gt;")=1,IFERROR(INDEX(Cases!$H$7:$H$56,MATCH($A26,Cases!$A$7:$A$56,0)),""),"")))&gt;0,LEN(TRIM(IF(COUNTIFS(Cases!$A$7:$A$56,$A26,Cases!$I$7:$I$56,"&lt;&gt;")=1,IFERROR(INDEX(Cases!$I$7:$I$56,MATCH($A26,Cases!$A$7:$A$56,0)),""),"")))&gt;0),1,0)</f>
        <v>0</v>
      </c>
      <c r="E26" s="14">
        <f>IF(AND(AG26=1,IFERROR(INDEX(Current!$G$7:$G$56,MATCH($A26,Current!$A$7:$A$56,0)),"")="Ready"),1,0)</f>
        <v>0</v>
      </c>
      <c r="F26" s="14">
        <f>IF(AND(AG26=1,IFERROR(INDEX(Proposed!$H$7:$H$56,MATCH($A26,Proposed!$A$7:$A$56,0)),"")="Ready",OR(AP26&lt;&gt;"Retain",AND(IFERROR(INDEX(Current!$B$7:$B$56,MATCH($A26,Current!$A$7:$A$56,0)),"")=IFERROR(INDEX(Proposed!$B$7:$B$56,MATCH($A26,Proposed!$A$7:$A$56,0)),""),IFERROR(INDEX(Current!$C$7:$C$56,MATCH($A26,Current!$A$7:$A$56,0)),"")=IFERROR(INDEX(Proposed!$C$7:$C$56,MATCH($A26,Proposed!$A$7:$A$56,0)),""),IFERROR(INDEX(Current!$D$7:$D$56,MATCH($A26,Current!$A$7:$A$56,0)),"")=IFERROR(INDEX(Proposed!$D$7:$D$56,MATCH($A26,Proposed!$A$7:$A$56,0)),""),IFERROR(INDEX(Current!$E$7:$E$56,MATCH($A26,Current!$A$7:$A$56,0)),"")=IFERROR(INDEX(Proposed!$E$7:$E$56,MATCH($A26,Proposed!$A$7:$A$56,0)),"")))),1,0)</f>
        <v>0</v>
      </c>
      <c r="G26" s="14" t="str">
        <f>IF(COUNTIFS('Challenge Review'!$A$7:$A$56,$A26,'Challenge Review'!$K$7:$K$56,"&lt;&gt;")=1,IFERROR(INDEX('Challenge Review'!$K$7:$K$56,MATCH($A26,'Challenge Review'!$A$7:$A$56,0)),""),"")</f>
        <v>Unchecked</v>
      </c>
      <c r="H26" s="14">
        <f>IF(AND(AG26=1,IFERROR(INDEX('Review &amp; Decision'!$B$7:$B$56,MATCH($A26,'Review &amp; Decision'!$A$7:$A$56,0)),"")="Evidence-backed",OR(IFERROR(INDEX('Review &amp; Decision'!$C$7:$C$56,MATCH($A26,'Review &amp; Decision'!$A$7:$A$56,0)),"")="Equivalent or better",AND(IFERROR(INDEX('Review &amp; Decision'!$C$7:$C$56,MATCH($A26,'Review &amp; Decision'!$A$7:$A$56,0)),"")="Accepted reduction",COUNTIFS('Review &amp; Decision'!$A$7:$A$56,$A26,'Review &amp; Decision'!$L$7:$L$56,"&lt;&gt;")=1)),COUNTIFS('Review &amp; Decision'!$A$7:$A$56,$A26,'Review &amp; Decision'!$D$7:$D$56,"&lt;&gt;")=1,COUNTIFS('Review &amp; Decision'!$A$7:$A$56,$A26,'Review &amp; Decision'!$F$7:$F$56,"&lt;&gt;")=1,OR(IFERROR(INDEX('Review &amp; Decision'!$E$7:$E$56,MATCH($A26,'Review &amp; Decision'!$A$7:$A$56,0)),"")="Approved",IFERROR(INDEX('Review &amp; Decision'!$E$7:$E$56,MATCH($A26,'Review &amp; Decision'!$A$7:$A$56,0)),"")="Implemented"),ISNUMBER(IFERROR(INDEX('Review &amp; Decision'!$G$7:$G$56,MATCH($A26,'Review &amp; Decision'!$A$7:$A$56,0)),"")),IFERROR(INDEX('Review &amp; Decision'!$G$7:$G$56,MATCH($A26,'Review &amp; Decision'!$A$7:$A$56,0)),"")&gt;0,IFERROR(INDEX('Review &amp; Decision'!$G$7:$G$56,MATCH($A26,'Review &amp; Decision'!$A$7:$A$56,0)),"")&lt;=Settings!$B$7,ISNUMBER(IFERROR(INDEX('Review &amp; Decision'!$I$7:$I$56,MATCH($A26,'Review &amp; Decision'!$A$7:$A$56,0)),"")),IFERROR(INDEX('Review &amp; Decision'!$I$7:$I$56,MATCH($A26,'Review &amp; Decision'!$A$7:$A$56,0)),"")&gt;0,IFERROR(INDEX('Review &amp; Decision'!$I$7:$I$56,MATCH($A26,'Review &amp; Decision'!$A$7:$A$56,0)),"")&lt;=Settings!$B$7,IFERROR(INDEX('Review &amp; Decision'!$I$7:$I$56,MATCH($A26,'Review &amp; Decision'!$A$7:$A$56,0)),"")&gt;=IFERROR(INDEX('Review &amp; Decision'!$G$7:$G$56,MATCH($A26,'Review &amp; Decision'!$A$7:$A$56,0)),""),COUNTIFS('Review &amp; Decision'!$A$7:$A$56,$A26,'Review &amp; Decision'!$J$7:$J$56,"&lt;&gt;")=1,COUNTIFS('Review &amp; Decision'!$A$7:$A$56,$A26,'Review &amp; Decision'!$K$7:$K$56,"&lt;&gt;")=1,ISNUMBER(IFERROR(INDEX('Review &amp; Decision'!$J$7:$J$56,MATCH($A26,'Review &amp; Decision'!$A$7:$A$56,0)),"")),IFERROR(INDEX('Review &amp; Decision'!$J$7:$J$56,MATCH($A26,'Review &amp; Decision'!$A$7:$A$56,0)),"")&gt;=0,IFERROR(INDEX('Review &amp; Decision'!$J$7:$J$56,MATCH($A26,'Review &amp; Decision'!$A$7:$A$56,0)),"")&lt;=1,ISNUMBER(IFERROR(INDEX('Review &amp; Decision'!$K$7:$K$56,MATCH($A26,'Review &amp; Decision'!$A$7:$A$56,0)),"")),IFERROR(INDEX('Review &amp; Decision'!$K$7:$K$56,MATCH($A26,'Review &amp; Decision'!$A$7:$A$56,0)),"")&gt;=0,IFERROR(INDEX('Review &amp; Decision'!$K$7:$K$56,MATCH($A26,'Review &amp; Decision'!$A$7:$A$56,0)),"")&lt;=1,ISNUMBER(Settings!$B$7),Settings!$B$7&gt;0,OR(Settings!$B$8="Approved + measured",Settings!$B$8="Measured only"),LEN(TRIM(IF(COUNTIFS('Review &amp; Decision'!$A$7:$A$56,$A26,'Review &amp; Decision'!$D$7:$D$56,"&lt;&gt;")=1,IFERROR(INDEX('Review &amp; Decision'!$D$7:$D$56,MATCH($A26,'Review &amp; Decision'!$A$7:$A$56,0)),""),"")))&gt;0,LEN(TRIM(IF(COUNTIFS('Review &amp; Decision'!$A$7:$A$56,$A26,'Review &amp; Decision'!$F$7:$F$56,"&lt;&gt;")=1,IFERROR(INDEX('Review &amp; Decision'!$F$7:$F$56,MATCH($A26,'Review &amp; Decision'!$A$7:$A$56,0)),""),"")))&gt;0,OR(IFERROR(INDEX('Review &amp; Decision'!$C$7:$C$56,MATCH($A26,'Review &amp; Decision'!$A$7:$A$56,0)),"")&lt;&gt;"Accepted reduction",LEN(TRIM(IF(COUNTIFS('Review &amp; Decision'!$A$7:$A$56,$A26,'Review &amp; Decision'!$L$7:$L$56,"&lt;&gt;")=1,IFERROR(INDEX('Review &amp; Decision'!$L$7:$L$56,MATCH($A26,'Review &amp; Decision'!$A$7:$A$56,0)),""),"")))&gt;0)),1,0)</f>
        <v>0</v>
      </c>
      <c r="I26" s="14">
        <f>IF(AND(AG26=1,IFERROR(INDEX(Actuals!$M$7:$M$56,MATCH($A26,Actuals!$A$7:$A$56,0)),"")="Ready",IFERROR(INDEX(Actuals!$D$7:$D$56,MATCH($A26,Actuals!$A$7:$A$56,0)),"")&gt;=IFERROR(INDEX('Review &amp; Decision'!$I$7:$I$56,MATCH($A26,'Review &amp; Decision'!$A$7:$A$56,0)),"")),1,0)</f>
        <v>0</v>
      </c>
      <c r="J26" s="14" t="str">
        <f t="shared" si="0"/>
        <v>Unused slot</v>
      </c>
      <c r="K26" s="14">
        <f t="shared" si="1"/>
        <v>0</v>
      </c>
      <c r="L26" s="14">
        <f t="shared" si="2"/>
        <v>0</v>
      </c>
      <c r="M26" s="14">
        <f>IF(OR(L26=1,AND(K26=1,Settings!$B$8="Approved + measured")),1,0)</f>
        <v>0</v>
      </c>
      <c r="N26" s="14" t="str">
        <f>IF(E26=1,IFERROR(INDEX(Current!$H$7:$H$56,MATCH($A26,Current!$A$7:$A$56,0)),""),"")</f>
        <v/>
      </c>
      <c r="O26" s="14" t="str">
        <f>IF(F26=1,IFERROR(INDEX(Proposed!$I$7:$I$56,MATCH($A26,Proposed!$A$7:$A$56,0)),""),"")</f>
        <v/>
      </c>
      <c r="P26" s="14" t="str">
        <f t="shared" si="3"/>
        <v/>
      </c>
      <c r="Q26" s="14" t="str">
        <f>IF(E26=1,IFERROR(INDEX(Current!$I$7:$I$56,MATCH($A26,Current!$A$7:$A$56,0)),""),"")</f>
        <v/>
      </c>
      <c r="R26" s="14" t="str">
        <f>IF(F26=1,IFERROR(INDEX(Proposed!$J$7:$J$56,MATCH($A26,Proposed!$A$7:$A$56,0)),""),"")</f>
        <v/>
      </c>
      <c r="S26" s="14" t="str">
        <f t="shared" si="4"/>
        <v/>
      </c>
      <c r="T26" s="14" t="str">
        <f>IF(E26=1,IFERROR(INDEX(Current!$E$7:$E$56,MATCH($A26,Current!$A$7:$A$56,0)),""),"")</f>
        <v/>
      </c>
      <c r="U26" s="14" t="str">
        <f>IF(F26=1,IFERROR(INDEX(Proposed!$E$7:$E$56,MATCH($A26,Proposed!$A$7:$A$56,0)),""),"")</f>
        <v/>
      </c>
      <c r="V26" s="14" t="str">
        <f t="shared" si="5"/>
        <v/>
      </c>
      <c r="W26" s="14" t="str">
        <f>IF(E26=1,IFERROR(INDEX(Current!$K$7:$K$56,MATCH($A26,Current!$A$7:$A$56,0)),""),"")</f>
        <v/>
      </c>
      <c r="X26" s="14" t="str">
        <f>IF(F26=1,IFERROR(INDEX(Proposed!$L$7:$L$56,MATCH($A26,Proposed!$A$7:$A$56,0)),""),"")</f>
        <v/>
      </c>
      <c r="Y26" s="14" t="str">
        <f t="shared" si="6"/>
        <v/>
      </c>
      <c r="Z26" s="14" t="str">
        <f>IF(F26=1,IFERROR(INDEX(Proposed!$F$7:$F$56,MATCH($A26,Proposed!$A$7:$A$56,0)),""),"")</f>
        <v/>
      </c>
      <c r="AA26" s="14">
        <f>IF(M26=1,IF(IF(L26=1,AL26,P26)&gt;0,IF(L26=1,AL26,P26)*IFERROR(INDEX('Review &amp; Decision'!$J$7:$J$56,MATCH($A26,'Review &amp; Decision'!$A$7:$A$56,0)),""),IF(L26=1,AL26,P26)),0)</f>
        <v>0</v>
      </c>
      <c r="AB26" s="14">
        <f>IF(M26=1,IF(IF(L26=1,AM26,S26)&gt;0,IF(L26=1,AM26,S26)*IFERROR(INDEX('Review &amp; Decision'!$K$7:$K$56,MATCH($A26,'Review &amp; Decision'!$A$7:$A$56,0)),""),IF(L26=1,AM26,S26)),0)</f>
        <v>0</v>
      </c>
      <c r="AC26" s="14">
        <f t="shared" si="7"/>
        <v>0</v>
      </c>
      <c r="AD26" s="14">
        <f t="shared" si="8"/>
        <v>0</v>
      </c>
      <c r="AE26" s="14">
        <f t="shared" si="9"/>
        <v>0</v>
      </c>
      <c r="AF26" s="14" t="str">
        <f t="shared" si="10"/>
        <v>No measurement warning</v>
      </c>
      <c r="AG26" s="14">
        <f>IF(AND(COUNTIF(Cases!$A$7:$A$56,$A26)=1,COUNTIF(Current!$A$7:$A$56,$A26)=1,COUNTIF(Proposed!$A$7:$A$56,$A26)=1,COUNTIF('Review &amp; Decision'!$A$7:$A$56,$A26)=1,COUNTIF('Challenge Review'!$A$7:$A$56,$A26)=1,COUNTIF(Actuals!$A$7:$A$56,$A26)=1,COUNTIF(Classification!$A$7:$A$56,$A26)=1),1,0)</f>
        <v>1</v>
      </c>
      <c r="AH26" s="14">
        <f t="shared" si="11"/>
        <v>0</v>
      </c>
      <c r="AI26" s="14" t="str">
        <f>IF(COUNTIFS('Review &amp; Decision'!$A$7:$A$56,$A26,'Review &amp; Decision'!$H$7:$H$56,"&lt;&gt;")=1,IFERROR(INDEX('Review &amp; Decision'!$H$7:$H$56,MATCH($A26,'Review &amp; Decision'!$A$7:$A$56,0)),""),"")</f>
        <v/>
      </c>
      <c r="AJ26" s="14" t="str">
        <f>IF(COUNTIFS('Review &amp; Decision'!$A$7:$A$56,$A26,'Review &amp; Decision'!$E$7:$E$56,"&lt;&gt;")=1,IFERROR(INDEX('Review &amp; Decision'!$E$7:$E$56,MATCH($A26,'Review &amp; Decision'!$A$7:$A$56,0)),""),"")</f>
        <v/>
      </c>
      <c r="AK26" s="14" t="str">
        <f>IF(COUNTIFS('Review &amp; Decision'!$A$7:$A$56,$A26,'Review &amp; Decision'!$B$7:$B$56,"&lt;&gt;")=1,IFERROR(INDEX('Review &amp; Decision'!$B$7:$B$56,MATCH($A26,'Review &amp; Decision'!$A$7:$A$56,0)),""),"")</f>
        <v/>
      </c>
      <c r="AL26" s="14" t="str">
        <f>IF(I26=1,IFERROR(INDEX(Actuals!$E$7:$E$56,MATCH($A26,Actuals!$A$7:$A$56,0)),""),"")</f>
        <v/>
      </c>
      <c r="AM26" s="14" t="str">
        <f>IF(I26=1,IFERROR(INDEX(Actuals!$F$7:$F$56,MATCH($A26,Actuals!$A$7:$A$56,0)),""),"")</f>
        <v/>
      </c>
      <c r="AN26" s="14" t="str">
        <f>IF(I26=1,IFERROR(INDEX(Actuals!$G$7:$G$56,MATCH($A26,Actuals!$A$7:$A$56,0)),""),"")</f>
        <v/>
      </c>
      <c r="AO26" s="14" t="str">
        <f>IF(I26=1,IFERROR(INDEX(Actuals!$G$7:$G$56,MATCH($A26,Actuals!$A$7:$A$56,0)),"")+IFERROR(INDEX(Actuals!$H$7:$H$56,MATCH($A26,Actuals!$A$7:$A$56,0)),""),"")</f>
        <v/>
      </c>
      <c r="AP26" s="14" t="str">
        <f>IF(COUNTIFS(Cases!$A$7:$A$56,$A26,Cases!$G$7:$G$56,"&lt;&gt;")=1,IFERROR(INDEX(Cases!$G$7:$G$56,MATCH($A26,Cases!$A$7:$A$56,0)),""),"")</f>
        <v/>
      </c>
    </row>
    <row r="27" spans="1:42" ht="43.9" customHeight="1">
      <c r="A27" s="14" t="s">
        <v>118</v>
      </c>
      <c r="B27" s="14" t="str">
        <f>IF(COUNTIFS(Cases!$A$7:$A$56,$A27,Cases!$B$7:$B$56,"&lt;&gt;")=1,IFERROR(INDEX(Cases!$B$7:$B$56,MATCH($A27,Cases!$A$7:$A$56,0)),""),"")</f>
        <v>Inactive</v>
      </c>
      <c r="C27" s="14" t="str">
        <f>IF(COUNTIFS(Cases!$A$7:$A$56,$A27,Cases!$C$7:$C$56,"&lt;&gt;")=1,IFERROR(INDEX(Cases!$C$7:$C$56,MATCH($A27,Cases!$A$7:$A$56,0)),""),"")</f>
        <v/>
      </c>
      <c r="D27" s="14">
        <f>IF(AND(AG27=1,OR(B27="Example",B27="Live"),OR(AP27="Simplify",AP27="Replace",AP27="Reduce scope",AP27="Retire",AP27="Retain"),COUNTIFS(Cases!$A$7:$A$56,$A27,Cases!$C$7:$C$56,"&lt;&gt;")=1,COUNTIFS(Cases!$A$7:$A$56,$A27,Cases!$D$7:$D$56,"&lt;&gt;")=1,COUNTIFS(Cases!$A$7:$A$56,$A27,Cases!$E$7:$E$56,"&lt;&gt;")=1,COUNTIFS(Cases!$A$7:$A$56,$A27,Cases!$F$7:$F$56,"&lt;&gt;")=1,COUNTIFS(Cases!$A$7:$A$56,$A27,Cases!$H$7:$H$56,"&lt;&gt;")=1,COUNTIFS(Cases!$A$7:$A$56,$A27,Cases!$I$7:$I$56,"&lt;&gt;")=1,LEN(TRIM(IF(COUNTIFS(Cases!$A$7:$A$56,$A27,Cases!$C$7:$C$56,"&lt;&gt;")=1,IFERROR(INDEX(Cases!$C$7:$C$56,MATCH($A27,Cases!$A$7:$A$56,0)),""),"")))&gt;0,LEN(TRIM(IF(COUNTIFS(Cases!$A$7:$A$56,$A27,Cases!$D$7:$D$56,"&lt;&gt;")=1,IFERROR(INDEX(Cases!$D$7:$D$56,MATCH($A27,Cases!$A$7:$A$56,0)),""),"")))&gt;0,LEN(TRIM(IF(COUNTIFS(Cases!$A$7:$A$56,$A27,Cases!$E$7:$E$56,"&lt;&gt;")=1,IFERROR(INDEX(Cases!$E$7:$E$56,MATCH($A27,Cases!$A$7:$A$56,0)),""),"")))&gt;0,LEN(TRIM(IF(COUNTIFS(Cases!$A$7:$A$56,$A27,Cases!$F$7:$F$56,"&lt;&gt;")=1,IFERROR(INDEX(Cases!$F$7:$F$56,MATCH($A27,Cases!$A$7:$A$56,0)),""),"")))&gt;0,LEN(TRIM(IF(COUNTIFS(Cases!$A$7:$A$56,$A27,Cases!$H$7:$H$56,"&lt;&gt;")=1,IFERROR(INDEX(Cases!$H$7:$H$56,MATCH($A27,Cases!$A$7:$A$56,0)),""),"")))&gt;0,LEN(TRIM(IF(COUNTIFS(Cases!$A$7:$A$56,$A27,Cases!$I$7:$I$56,"&lt;&gt;")=1,IFERROR(INDEX(Cases!$I$7:$I$56,MATCH($A27,Cases!$A$7:$A$56,0)),""),"")))&gt;0),1,0)</f>
        <v>0</v>
      </c>
      <c r="E27" s="14">
        <f>IF(AND(AG27=1,IFERROR(INDEX(Current!$G$7:$G$56,MATCH($A27,Current!$A$7:$A$56,0)),"")="Ready"),1,0)</f>
        <v>0</v>
      </c>
      <c r="F27" s="14">
        <f>IF(AND(AG27=1,IFERROR(INDEX(Proposed!$H$7:$H$56,MATCH($A27,Proposed!$A$7:$A$56,0)),"")="Ready",OR(AP27&lt;&gt;"Retain",AND(IFERROR(INDEX(Current!$B$7:$B$56,MATCH($A27,Current!$A$7:$A$56,0)),"")=IFERROR(INDEX(Proposed!$B$7:$B$56,MATCH($A27,Proposed!$A$7:$A$56,0)),""),IFERROR(INDEX(Current!$C$7:$C$56,MATCH($A27,Current!$A$7:$A$56,0)),"")=IFERROR(INDEX(Proposed!$C$7:$C$56,MATCH($A27,Proposed!$A$7:$A$56,0)),""),IFERROR(INDEX(Current!$D$7:$D$56,MATCH($A27,Current!$A$7:$A$56,0)),"")=IFERROR(INDEX(Proposed!$D$7:$D$56,MATCH($A27,Proposed!$A$7:$A$56,0)),""),IFERROR(INDEX(Current!$E$7:$E$56,MATCH($A27,Current!$A$7:$A$56,0)),"")=IFERROR(INDEX(Proposed!$E$7:$E$56,MATCH($A27,Proposed!$A$7:$A$56,0)),"")))),1,0)</f>
        <v>0</v>
      </c>
      <c r="G27" s="14" t="str">
        <f>IF(COUNTIFS('Challenge Review'!$A$7:$A$56,$A27,'Challenge Review'!$K$7:$K$56,"&lt;&gt;")=1,IFERROR(INDEX('Challenge Review'!$K$7:$K$56,MATCH($A27,'Challenge Review'!$A$7:$A$56,0)),""),"")</f>
        <v>Unchecked</v>
      </c>
      <c r="H27" s="14">
        <f>IF(AND(AG27=1,IFERROR(INDEX('Review &amp; Decision'!$B$7:$B$56,MATCH($A27,'Review &amp; Decision'!$A$7:$A$56,0)),"")="Evidence-backed",OR(IFERROR(INDEX('Review &amp; Decision'!$C$7:$C$56,MATCH($A27,'Review &amp; Decision'!$A$7:$A$56,0)),"")="Equivalent or better",AND(IFERROR(INDEX('Review &amp; Decision'!$C$7:$C$56,MATCH($A27,'Review &amp; Decision'!$A$7:$A$56,0)),"")="Accepted reduction",COUNTIFS('Review &amp; Decision'!$A$7:$A$56,$A27,'Review &amp; Decision'!$L$7:$L$56,"&lt;&gt;")=1)),COUNTIFS('Review &amp; Decision'!$A$7:$A$56,$A27,'Review &amp; Decision'!$D$7:$D$56,"&lt;&gt;")=1,COUNTIFS('Review &amp; Decision'!$A$7:$A$56,$A27,'Review &amp; Decision'!$F$7:$F$56,"&lt;&gt;")=1,OR(IFERROR(INDEX('Review &amp; Decision'!$E$7:$E$56,MATCH($A27,'Review &amp; Decision'!$A$7:$A$56,0)),"")="Approved",IFERROR(INDEX('Review &amp; Decision'!$E$7:$E$56,MATCH($A27,'Review &amp; Decision'!$A$7:$A$56,0)),"")="Implemented"),ISNUMBER(IFERROR(INDEX('Review &amp; Decision'!$G$7:$G$56,MATCH($A27,'Review &amp; Decision'!$A$7:$A$56,0)),"")),IFERROR(INDEX('Review &amp; Decision'!$G$7:$G$56,MATCH($A27,'Review &amp; Decision'!$A$7:$A$56,0)),"")&gt;0,IFERROR(INDEX('Review &amp; Decision'!$G$7:$G$56,MATCH($A27,'Review &amp; Decision'!$A$7:$A$56,0)),"")&lt;=Settings!$B$7,ISNUMBER(IFERROR(INDEX('Review &amp; Decision'!$I$7:$I$56,MATCH($A27,'Review &amp; Decision'!$A$7:$A$56,0)),"")),IFERROR(INDEX('Review &amp; Decision'!$I$7:$I$56,MATCH($A27,'Review &amp; Decision'!$A$7:$A$56,0)),"")&gt;0,IFERROR(INDEX('Review &amp; Decision'!$I$7:$I$56,MATCH($A27,'Review &amp; Decision'!$A$7:$A$56,0)),"")&lt;=Settings!$B$7,IFERROR(INDEX('Review &amp; Decision'!$I$7:$I$56,MATCH($A27,'Review &amp; Decision'!$A$7:$A$56,0)),"")&gt;=IFERROR(INDEX('Review &amp; Decision'!$G$7:$G$56,MATCH($A27,'Review &amp; Decision'!$A$7:$A$56,0)),""),COUNTIFS('Review &amp; Decision'!$A$7:$A$56,$A27,'Review &amp; Decision'!$J$7:$J$56,"&lt;&gt;")=1,COUNTIFS('Review &amp; Decision'!$A$7:$A$56,$A27,'Review &amp; Decision'!$K$7:$K$56,"&lt;&gt;")=1,ISNUMBER(IFERROR(INDEX('Review &amp; Decision'!$J$7:$J$56,MATCH($A27,'Review &amp; Decision'!$A$7:$A$56,0)),"")),IFERROR(INDEX('Review &amp; Decision'!$J$7:$J$56,MATCH($A27,'Review &amp; Decision'!$A$7:$A$56,0)),"")&gt;=0,IFERROR(INDEX('Review &amp; Decision'!$J$7:$J$56,MATCH($A27,'Review &amp; Decision'!$A$7:$A$56,0)),"")&lt;=1,ISNUMBER(IFERROR(INDEX('Review &amp; Decision'!$K$7:$K$56,MATCH($A27,'Review &amp; Decision'!$A$7:$A$56,0)),"")),IFERROR(INDEX('Review &amp; Decision'!$K$7:$K$56,MATCH($A27,'Review &amp; Decision'!$A$7:$A$56,0)),"")&gt;=0,IFERROR(INDEX('Review &amp; Decision'!$K$7:$K$56,MATCH($A27,'Review &amp; Decision'!$A$7:$A$56,0)),"")&lt;=1,ISNUMBER(Settings!$B$7),Settings!$B$7&gt;0,OR(Settings!$B$8="Approved + measured",Settings!$B$8="Measured only"),LEN(TRIM(IF(COUNTIFS('Review &amp; Decision'!$A$7:$A$56,$A27,'Review &amp; Decision'!$D$7:$D$56,"&lt;&gt;")=1,IFERROR(INDEX('Review &amp; Decision'!$D$7:$D$56,MATCH($A27,'Review &amp; Decision'!$A$7:$A$56,0)),""),"")))&gt;0,LEN(TRIM(IF(COUNTIFS('Review &amp; Decision'!$A$7:$A$56,$A27,'Review &amp; Decision'!$F$7:$F$56,"&lt;&gt;")=1,IFERROR(INDEX('Review &amp; Decision'!$F$7:$F$56,MATCH($A27,'Review &amp; Decision'!$A$7:$A$56,0)),""),"")))&gt;0,OR(IFERROR(INDEX('Review &amp; Decision'!$C$7:$C$56,MATCH($A27,'Review &amp; Decision'!$A$7:$A$56,0)),"")&lt;&gt;"Accepted reduction",LEN(TRIM(IF(COUNTIFS('Review &amp; Decision'!$A$7:$A$56,$A27,'Review &amp; Decision'!$L$7:$L$56,"&lt;&gt;")=1,IFERROR(INDEX('Review &amp; Decision'!$L$7:$L$56,MATCH($A27,'Review &amp; Decision'!$A$7:$A$56,0)),""),"")))&gt;0)),1,0)</f>
        <v>0</v>
      </c>
      <c r="I27" s="14">
        <f>IF(AND(AG27=1,IFERROR(INDEX(Actuals!$M$7:$M$56,MATCH($A27,Actuals!$A$7:$A$56,0)),"")="Ready",IFERROR(INDEX(Actuals!$D$7:$D$56,MATCH($A27,Actuals!$A$7:$A$56,0)),"")&gt;=IFERROR(INDEX('Review &amp; Decision'!$I$7:$I$56,MATCH($A27,'Review &amp; Decision'!$A$7:$A$56,0)),"")),1,0)</f>
        <v>0</v>
      </c>
      <c r="J27" s="14" t="str">
        <f t="shared" si="0"/>
        <v>Unused slot</v>
      </c>
      <c r="K27" s="14">
        <f t="shared" si="1"/>
        <v>0</v>
      </c>
      <c r="L27" s="14">
        <f t="shared" si="2"/>
        <v>0</v>
      </c>
      <c r="M27" s="14">
        <f>IF(OR(L27=1,AND(K27=1,Settings!$B$8="Approved + measured")),1,0)</f>
        <v>0</v>
      </c>
      <c r="N27" s="14" t="str">
        <f>IF(E27=1,IFERROR(INDEX(Current!$H$7:$H$56,MATCH($A27,Current!$A$7:$A$56,0)),""),"")</f>
        <v/>
      </c>
      <c r="O27" s="14" t="str">
        <f>IF(F27=1,IFERROR(INDEX(Proposed!$I$7:$I$56,MATCH($A27,Proposed!$A$7:$A$56,0)),""),"")</f>
        <v/>
      </c>
      <c r="P27" s="14" t="str">
        <f t="shared" si="3"/>
        <v/>
      </c>
      <c r="Q27" s="14" t="str">
        <f>IF(E27=1,IFERROR(INDEX(Current!$I$7:$I$56,MATCH($A27,Current!$A$7:$A$56,0)),""),"")</f>
        <v/>
      </c>
      <c r="R27" s="14" t="str">
        <f>IF(F27=1,IFERROR(INDEX(Proposed!$J$7:$J$56,MATCH($A27,Proposed!$A$7:$A$56,0)),""),"")</f>
        <v/>
      </c>
      <c r="S27" s="14" t="str">
        <f t="shared" si="4"/>
        <v/>
      </c>
      <c r="T27" s="14" t="str">
        <f>IF(E27=1,IFERROR(INDEX(Current!$E$7:$E$56,MATCH($A27,Current!$A$7:$A$56,0)),""),"")</f>
        <v/>
      </c>
      <c r="U27" s="14" t="str">
        <f>IF(F27=1,IFERROR(INDEX(Proposed!$E$7:$E$56,MATCH($A27,Proposed!$A$7:$A$56,0)),""),"")</f>
        <v/>
      </c>
      <c r="V27" s="14" t="str">
        <f t="shared" si="5"/>
        <v/>
      </c>
      <c r="W27" s="14" t="str">
        <f>IF(E27=1,IFERROR(INDEX(Current!$K$7:$K$56,MATCH($A27,Current!$A$7:$A$56,0)),""),"")</f>
        <v/>
      </c>
      <c r="X27" s="14" t="str">
        <f>IF(F27=1,IFERROR(INDEX(Proposed!$L$7:$L$56,MATCH($A27,Proposed!$A$7:$A$56,0)),""),"")</f>
        <v/>
      </c>
      <c r="Y27" s="14" t="str">
        <f t="shared" si="6"/>
        <v/>
      </c>
      <c r="Z27" s="14" t="str">
        <f>IF(F27=1,IFERROR(INDEX(Proposed!$F$7:$F$56,MATCH($A27,Proposed!$A$7:$A$56,0)),""),"")</f>
        <v/>
      </c>
      <c r="AA27" s="14">
        <f>IF(M27=1,IF(IF(L27=1,AL27,P27)&gt;0,IF(L27=1,AL27,P27)*IFERROR(INDEX('Review &amp; Decision'!$J$7:$J$56,MATCH($A27,'Review &amp; Decision'!$A$7:$A$56,0)),""),IF(L27=1,AL27,P27)),0)</f>
        <v>0</v>
      </c>
      <c r="AB27" s="14">
        <f>IF(M27=1,IF(IF(L27=1,AM27,S27)&gt;0,IF(L27=1,AM27,S27)*IFERROR(INDEX('Review &amp; Decision'!$K$7:$K$56,MATCH($A27,'Review &amp; Decision'!$A$7:$A$56,0)),""),IF(L27=1,AM27,S27)),0)</f>
        <v>0</v>
      </c>
      <c r="AC27" s="14">
        <f t="shared" si="7"/>
        <v>0</v>
      </c>
      <c r="AD27" s="14">
        <f t="shared" si="8"/>
        <v>0</v>
      </c>
      <c r="AE27" s="14">
        <f t="shared" si="9"/>
        <v>0</v>
      </c>
      <c r="AF27" s="14" t="str">
        <f t="shared" si="10"/>
        <v>No measurement warning</v>
      </c>
      <c r="AG27" s="14">
        <f>IF(AND(COUNTIF(Cases!$A$7:$A$56,$A27)=1,COUNTIF(Current!$A$7:$A$56,$A27)=1,COUNTIF(Proposed!$A$7:$A$56,$A27)=1,COUNTIF('Review &amp; Decision'!$A$7:$A$56,$A27)=1,COUNTIF('Challenge Review'!$A$7:$A$56,$A27)=1,COUNTIF(Actuals!$A$7:$A$56,$A27)=1,COUNTIF(Classification!$A$7:$A$56,$A27)=1),1,0)</f>
        <v>1</v>
      </c>
      <c r="AH27" s="14">
        <f t="shared" si="11"/>
        <v>0</v>
      </c>
      <c r="AI27" s="14" t="str">
        <f>IF(COUNTIFS('Review &amp; Decision'!$A$7:$A$56,$A27,'Review &amp; Decision'!$H$7:$H$56,"&lt;&gt;")=1,IFERROR(INDEX('Review &amp; Decision'!$H$7:$H$56,MATCH($A27,'Review &amp; Decision'!$A$7:$A$56,0)),""),"")</f>
        <v/>
      </c>
      <c r="AJ27" s="14" t="str">
        <f>IF(COUNTIFS('Review &amp; Decision'!$A$7:$A$56,$A27,'Review &amp; Decision'!$E$7:$E$56,"&lt;&gt;")=1,IFERROR(INDEX('Review &amp; Decision'!$E$7:$E$56,MATCH($A27,'Review &amp; Decision'!$A$7:$A$56,0)),""),"")</f>
        <v/>
      </c>
      <c r="AK27" s="14" t="str">
        <f>IF(COUNTIFS('Review &amp; Decision'!$A$7:$A$56,$A27,'Review &amp; Decision'!$B$7:$B$56,"&lt;&gt;")=1,IFERROR(INDEX('Review &amp; Decision'!$B$7:$B$56,MATCH($A27,'Review &amp; Decision'!$A$7:$A$56,0)),""),"")</f>
        <v/>
      </c>
      <c r="AL27" s="14" t="str">
        <f>IF(I27=1,IFERROR(INDEX(Actuals!$E$7:$E$56,MATCH($A27,Actuals!$A$7:$A$56,0)),""),"")</f>
        <v/>
      </c>
      <c r="AM27" s="14" t="str">
        <f>IF(I27=1,IFERROR(INDEX(Actuals!$F$7:$F$56,MATCH($A27,Actuals!$A$7:$A$56,0)),""),"")</f>
        <v/>
      </c>
      <c r="AN27" s="14" t="str">
        <f>IF(I27=1,IFERROR(INDEX(Actuals!$G$7:$G$56,MATCH($A27,Actuals!$A$7:$A$56,0)),""),"")</f>
        <v/>
      </c>
      <c r="AO27" s="14" t="str">
        <f>IF(I27=1,IFERROR(INDEX(Actuals!$G$7:$G$56,MATCH($A27,Actuals!$A$7:$A$56,0)),"")+IFERROR(INDEX(Actuals!$H$7:$H$56,MATCH($A27,Actuals!$A$7:$A$56,0)),""),"")</f>
        <v/>
      </c>
      <c r="AP27" s="14" t="str">
        <f>IF(COUNTIFS(Cases!$A$7:$A$56,$A27,Cases!$G$7:$G$56,"&lt;&gt;")=1,IFERROR(INDEX(Cases!$G$7:$G$56,MATCH($A27,Cases!$A$7:$A$56,0)),""),"")</f>
        <v/>
      </c>
    </row>
    <row r="28" spans="1:42" ht="43.9" customHeight="1">
      <c r="A28" s="14" t="s">
        <v>119</v>
      </c>
      <c r="B28" s="14" t="str">
        <f>IF(COUNTIFS(Cases!$A$7:$A$56,$A28,Cases!$B$7:$B$56,"&lt;&gt;")=1,IFERROR(INDEX(Cases!$B$7:$B$56,MATCH($A28,Cases!$A$7:$A$56,0)),""),"")</f>
        <v>Inactive</v>
      </c>
      <c r="C28" s="14" t="str">
        <f>IF(COUNTIFS(Cases!$A$7:$A$56,$A28,Cases!$C$7:$C$56,"&lt;&gt;")=1,IFERROR(INDEX(Cases!$C$7:$C$56,MATCH($A28,Cases!$A$7:$A$56,0)),""),"")</f>
        <v/>
      </c>
      <c r="D28" s="14">
        <f>IF(AND(AG28=1,OR(B28="Example",B28="Live"),OR(AP28="Simplify",AP28="Replace",AP28="Reduce scope",AP28="Retire",AP28="Retain"),COUNTIFS(Cases!$A$7:$A$56,$A28,Cases!$C$7:$C$56,"&lt;&gt;")=1,COUNTIFS(Cases!$A$7:$A$56,$A28,Cases!$D$7:$D$56,"&lt;&gt;")=1,COUNTIFS(Cases!$A$7:$A$56,$A28,Cases!$E$7:$E$56,"&lt;&gt;")=1,COUNTIFS(Cases!$A$7:$A$56,$A28,Cases!$F$7:$F$56,"&lt;&gt;")=1,COUNTIFS(Cases!$A$7:$A$56,$A28,Cases!$H$7:$H$56,"&lt;&gt;")=1,COUNTIFS(Cases!$A$7:$A$56,$A28,Cases!$I$7:$I$56,"&lt;&gt;")=1,LEN(TRIM(IF(COUNTIFS(Cases!$A$7:$A$56,$A28,Cases!$C$7:$C$56,"&lt;&gt;")=1,IFERROR(INDEX(Cases!$C$7:$C$56,MATCH($A28,Cases!$A$7:$A$56,0)),""),"")))&gt;0,LEN(TRIM(IF(COUNTIFS(Cases!$A$7:$A$56,$A28,Cases!$D$7:$D$56,"&lt;&gt;")=1,IFERROR(INDEX(Cases!$D$7:$D$56,MATCH($A28,Cases!$A$7:$A$56,0)),""),"")))&gt;0,LEN(TRIM(IF(COUNTIFS(Cases!$A$7:$A$56,$A28,Cases!$E$7:$E$56,"&lt;&gt;")=1,IFERROR(INDEX(Cases!$E$7:$E$56,MATCH($A28,Cases!$A$7:$A$56,0)),""),"")))&gt;0,LEN(TRIM(IF(COUNTIFS(Cases!$A$7:$A$56,$A28,Cases!$F$7:$F$56,"&lt;&gt;")=1,IFERROR(INDEX(Cases!$F$7:$F$56,MATCH($A28,Cases!$A$7:$A$56,0)),""),"")))&gt;0,LEN(TRIM(IF(COUNTIFS(Cases!$A$7:$A$56,$A28,Cases!$H$7:$H$56,"&lt;&gt;")=1,IFERROR(INDEX(Cases!$H$7:$H$56,MATCH($A28,Cases!$A$7:$A$56,0)),""),"")))&gt;0,LEN(TRIM(IF(COUNTIFS(Cases!$A$7:$A$56,$A28,Cases!$I$7:$I$56,"&lt;&gt;")=1,IFERROR(INDEX(Cases!$I$7:$I$56,MATCH($A28,Cases!$A$7:$A$56,0)),""),"")))&gt;0),1,0)</f>
        <v>0</v>
      </c>
      <c r="E28" s="14">
        <f>IF(AND(AG28=1,IFERROR(INDEX(Current!$G$7:$G$56,MATCH($A28,Current!$A$7:$A$56,0)),"")="Ready"),1,0)</f>
        <v>0</v>
      </c>
      <c r="F28" s="14">
        <f>IF(AND(AG28=1,IFERROR(INDEX(Proposed!$H$7:$H$56,MATCH($A28,Proposed!$A$7:$A$56,0)),"")="Ready",OR(AP28&lt;&gt;"Retain",AND(IFERROR(INDEX(Current!$B$7:$B$56,MATCH($A28,Current!$A$7:$A$56,0)),"")=IFERROR(INDEX(Proposed!$B$7:$B$56,MATCH($A28,Proposed!$A$7:$A$56,0)),""),IFERROR(INDEX(Current!$C$7:$C$56,MATCH($A28,Current!$A$7:$A$56,0)),"")=IFERROR(INDEX(Proposed!$C$7:$C$56,MATCH($A28,Proposed!$A$7:$A$56,0)),""),IFERROR(INDEX(Current!$D$7:$D$56,MATCH($A28,Current!$A$7:$A$56,0)),"")=IFERROR(INDEX(Proposed!$D$7:$D$56,MATCH($A28,Proposed!$A$7:$A$56,0)),""),IFERROR(INDEX(Current!$E$7:$E$56,MATCH($A28,Current!$A$7:$A$56,0)),"")=IFERROR(INDEX(Proposed!$E$7:$E$56,MATCH($A28,Proposed!$A$7:$A$56,0)),"")))),1,0)</f>
        <v>0</v>
      </c>
      <c r="G28" s="14" t="str">
        <f>IF(COUNTIFS('Challenge Review'!$A$7:$A$56,$A28,'Challenge Review'!$K$7:$K$56,"&lt;&gt;")=1,IFERROR(INDEX('Challenge Review'!$K$7:$K$56,MATCH($A28,'Challenge Review'!$A$7:$A$56,0)),""),"")</f>
        <v>Unchecked</v>
      </c>
      <c r="H28" s="14">
        <f>IF(AND(AG28=1,IFERROR(INDEX('Review &amp; Decision'!$B$7:$B$56,MATCH($A28,'Review &amp; Decision'!$A$7:$A$56,0)),"")="Evidence-backed",OR(IFERROR(INDEX('Review &amp; Decision'!$C$7:$C$56,MATCH($A28,'Review &amp; Decision'!$A$7:$A$56,0)),"")="Equivalent or better",AND(IFERROR(INDEX('Review &amp; Decision'!$C$7:$C$56,MATCH($A28,'Review &amp; Decision'!$A$7:$A$56,0)),"")="Accepted reduction",COUNTIFS('Review &amp; Decision'!$A$7:$A$56,$A28,'Review &amp; Decision'!$L$7:$L$56,"&lt;&gt;")=1)),COUNTIFS('Review &amp; Decision'!$A$7:$A$56,$A28,'Review &amp; Decision'!$D$7:$D$56,"&lt;&gt;")=1,COUNTIFS('Review &amp; Decision'!$A$7:$A$56,$A28,'Review &amp; Decision'!$F$7:$F$56,"&lt;&gt;")=1,OR(IFERROR(INDEX('Review &amp; Decision'!$E$7:$E$56,MATCH($A28,'Review &amp; Decision'!$A$7:$A$56,0)),"")="Approved",IFERROR(INDEX('Review &amp; Decision'!$E$7:$E$56,MATCH($A28,'Review &amp; Decision'!$A$7:$A$56,0)),"")="Implemented"),ISNUMBER(IFERROR(INDEX('Review &amp; Decision'!$G$7:$G$56,MATCH($A28,'Review &amp; Decision'!$A$7:$A$56,0)),"")),IFERROR(INDEX('Review &amp; Decision'!$G$7:$G$56,MATCH($A28,'Review &amp; Decision'!$A$7:$A$56,0)),"")&gt;0,IFERROR(INDEX('Review &amp; Decision'!$G$7:$G$56,MATCH($A28,'Review &amp; Decision'!$A$7:$A$56,0)),"")&lt;=Settings!$B$7,ISNUMBER(IFERROR(INDEX('Review &amp; Decision'!$I$7:$I$56,MATCH($A28,'Review &amp; Decision'!$A$7:$A$56,0)),"")),IFERROR(INDEX('Review &amp; Decision'!$I$7:$I$56,MATCH($A28,'Review &amp; Decision'!$A$7:$A$56,0)),"")&gt;0,IFERROR(INDEX('Review &amp; Decision'!$I$7:$I$56,MATCH($A28,'Review &amp; Decision'!$A$7:$A$56,0)),"")&lt;=Settings!$B$7,IFERROR(INDEX('Review &amp; Decision'!$I$7:$I$56,MATCH($A28,'Review &amp; Decision'!$A$7:$A$56,0)),"")&gt;=IFERROR(INDEX('Review &amp; Decision'!$G$7:$G$56,MATCH($A28,'Review &amp; Decision'!$A$7:$A$56,0)),""),COUNTIFS('Review &amp; Decision'!$A$7:$A$56,$A28,'Review &amp; Decision'!$J$7:$J$56,"&lt;&gt;")=1,COUNTIFS('Review &amp; Decision'!$A$7:$A$56,$A28,'Review &amp; Decision'!$K$7:$K$56,"&lt;&gt;")=1,ISNUMBER(IFERROR(INDEX('Review &amp; Decision'!$J$7:$J$56,MATCH($A28,'Review &amp; Decision'!$A$7:$A$56,0)),"")),IFERROR(INDEX('Review &amp; Decision'!$J$7:$J$56,MATCH($A28,'Review &amp; Decision'!$A$7:$A$56,0)),"")&gt;=0,IFERROR(INDEX('Review &amp; Decision'!$J$7:$J$56,MATCH($A28,'Review &amp; Decision'!$A$7:$A$56,0)),"")&lt;=1,ISNUMBER(IFERROR(INDEX('Review &amp; Decision'!$K$7:$K$56,MATCH($A28,'Review &amp; Decision'!$A$7:$A$56,0)),"")),IFERROR(INDEX('Review &amp; Decision'!$K$7:$K$56,MATCH($A28,'Review &amp; Decision'!$A$7:$A$56,0)),"")&gt;=0,IFERROR(INDEX('Review &amp; Decision'!$K$7:$K$56,MATCH($A28,'Review &amp; Decision'!$A$7:$A$56,0)),"")&lt;=1,ISNUMBER(Settings!$B$7),Settings!$B$7&gt;0,OR(Settings!$B$8="Approved + measured",Settings!$B$8="Measured only"),LEN(TRIM(IF(COUNTIFS('Review &amp; Decision'!$A$7:$A$56,$A28,'Review &amp; Decision'!$D$7:$D$56,"&lt;&gt;")=1,IFERROR(INDEX('Review &amp; Decision'!$D$7:$D$56,MATCH($A28,'Review &amp; Decision'!$A$7:$A$56,0)),""),"")))&gt;0,LEN(TRIM(IF(COUNTIFS('Review &amp; Decision'!$A$7:$A$56,$A28,'Review &amp; Decision'!$F$7:$F$56,"&lt;&gt;")=1,IFERROR(INDEX('Review &amp; Decision'!$F$7:$F$56,MATCH($A28,'Review &amp; Decision'!$A$7:$A$56,0)),""),"")))&gt;0,OR(IFERROR(INDEX('Review &amp; Decision'!$C$7:$C$56,MATCH($A28,'Review &amp; Decision'!$A$7:$A$56,0)),"")&lt;&gt;"Accepted reduction",LEN(TRIM(IF(COUNTIFS('Review &amp; Decision'!$A$7:$A$56,$A28,'Review &amp; Decision'!$L$7:$L$56,"&lt;&gt;")=1,IFERROR(INDEX('Review &amp; Decision'!$L$7:$L$56,MATCH($A28,'Review &amp; Decision'!$A$7:$A$56,0)),""),"")))&gt;0)),1,0)</f>
        <v>0</v>
      </c>
      <c r="I28" s="14">
        <f>IF(AND(AG28=1,IFERROR(INDEX(Actuals!$M$7:$M$56,MATCH($A28,Actuals!$A$7:$A$56,0)),"")="Ready",IFERROR(INDEX(Actuals!$D$7:$D$56,MATCH($A28,Actuals!$A$7:$A$56,0)),"")&gt;=IFERROR(INDEX('Review &amp; Decision'!$I$7:$I$56,MATCH($A28,'Review &amp; Decision'!$A$7:$A$56,0)),"")),1,0)</f>
        <v>0</v>
      </c>
      <c r="J28" s="14" t="str">
        <f t="shared" si="0"/>
        <v>Unused slot</v>
      </c>
      <c r="K28" s="14">
        <f t="shared" si="1"/>
        <v>0</v>
      </c>
      <c r="L28" s="14">
        <f t="shared" si="2"/>
        <v>0</v>
      </c>
      <c r="M28" s="14">
        <f>IF(OR(L28=1,AND(K28=1,Settings!$B$8="Approved + measured")),1,0)</f>
        <v>0</v>
      </c>
      <c r="N28" s="14" t="str">
        <f>IF(E28=1,IFERROR(INDEX(Current!$H$7:$H$56,MATCH($A28,Current!$A$7:$A$56,0)),""),"")</f>
        <v/>
      </c>
      <c r="O28" s="14" t="str">
        <f>IF(F28=1,IFERROR(INDEX(Proposed!$I$7:$I$56,MATCH($A28,Proposed!$A$7:$A$56,0)),""),"")</f>
        <v/>
      </c>
      <c r="P28" s="14" t="str">
        <f t="shared" si="3"/>
        <v/>
      </c>
      <c r="Q28" s="14" t="str">
        <f>IF(E28=1,IFERROR(INDEX(Current!$I$7:$I$56,MATCH($A28,Current!$A$7:$A$56,0)),""),"")</f>
        <v/>
      </c>
      <c r="R28" s="14" t="str">
        <f>IF(F28=1,IFERROR(INDEX(Proposed!$J$7:$J$56,MATCH($A28,Proposed!$A$7:$A$56,0)),""),"")</f>
        <v/>
      </c>
      <c r="S28" s="14" t="str">
        <f t="shared" si="4"/>
        <v/>
      </c>
      <c r="T28" s="14" t="str">
        <f>IF(E28=1,IFERROR(INDEX(Current!$E$7:$E$56,MATCH($A28,Current!$A$7:$A$56,0)),""),"")</f>
        <v/>
      </c>
      <c r="U28" s="14" t="str">
        <f>IF(F28=1,IFERROR(INDEX(Proposed!$E$7:$E$56,MATCH($A28,Proposed!$A$7:$A$56,0)),""),"")</f>
        <v/>
      </c>
      <c r="V28" s="14" t="str">
        <f t="shared" si="5"/>
        <v/>
      </c>
      <c r="W28" s="14" t="str">
        <f>IF(E28=1,IFERROR(INDEX(Current!$K$7:$K$56,MATCH($A28,Current!$A$7:$A$56,0)),""),"")</f>
        <v/>
      </c>
      <c r="X28" s="14" t="str">
        <f>IF(F28=1,IFERROR(INDEX(Proposed!$L$7:$L$56,MATCH($A28,Proposed!$A$7:$A$56,0)),""),"")</f>
        <v/>
      </c>
      <c r="Y28" s="14" t="str">
        <f t="shared" si="6"/>
        <v/>
      </c>
      <c r="Z28" s="14" t="str">
        <f>IF(F28=1,IFERROR(INDEX(Proposed!$F$7:$F$56,MATCH($A28,Proposed!$A$7:$A$56,0)),""),"")</f>
        <v/>
      </c>
      <c r="AA28" s="14">
        <f>IF(M28=1,IF(IF(L28=1,AL28,P28)&gt;0,IF(L28=1,AL28,P28)*IFERROR(INDEX('Review &amp; Decision'!$J$7:$J$56,MATCH($A28,'Review &amp; Decision'!$A$7:$A$56,0)),""),IF(L28=1,AL28,P28)),0)</f>
        <v>0</v>
      </c>
      <c r="AB28" s="14">
        <f>IF(M28=1,IF(IF(L28=1,AM28,S28)&gt;0,IF(L28=1,AM28,S28)*IFERROR(INDEX('Review &amp; Decision'!$K$7:$K$56,MATCH($A28,'Review &amp; Decision'!$A$7:$A$56,0)),""),IF(L28=1,AM28,S28)),0)</f>
        <v>0</v>
      </c>
      <c r="AC28" s="14">
        <f t="shared" si="7"/>
        <v>0</v>
      </c>
      <c r="AD28" s="14">
        <f t="shared" si="8"/>
        <v>0</v>
      </c>
      <c r="AE28" s="14">
        <f t="shared" si="9"/>
        <v>0</v>
      </c>
      <c r="AF28" s="14" t="str">
        <f t="shared" si="10"/>
        <v>No measurement warning</v>
      </c>
      <c r="AG28" s="14">
        <f>IF(AND(COUNTIF(Cases!$A$7:$A$56,$A28)=1,COUNTIF(Current!$A$7:$A$56,$A28)=1,COUNTIF(Proposed!$A$7:$A$56,$A28)=1,COUNTIF('Review &amp; Decision'!$A$7:$A$56,$A28)=1,COUNTIF('Challenge Review'!$A$7:$A$56,$A28)=1,COUNTIF(Actuals!$A$7:$A$56,$A28)=1,COUNTIF(Classification!$A$7:$A$56,$A28)=1),1,0)</f>
        <v>1</v>
      </c>
      <c r="AH28" s="14">
        <f t="shared" si="11"/>
        <v>0</v>
      </c>
      <c r="AI28" s="14" t="str">
        <f>IF(COUNTIFS('Review &amp; Decision'!$A$7:$A$56,$A28,'Review &amp; Decision'!$H$7:$H$56,"&lt;&gt;")=1,IFERROR(INDEX('Review &amp; Decision'!$H$7:$H$56,MATCH($A28,'Review &amp; Decision'!$A$7:$A$56,0)),""),"")</f>
        <v/>
      </c>
      <c r="AJ28" s="14" t="str">
        <f>IF(COUNTIFS('Review &amp; Decision'!$A$7:$A$56,$A28,'Review &amp; Decision'!$E$7:$E$56,"&lt;&gt;")=1,IFERROR(INDEX('Review &amp; Decision'!$E$7:$E$56,MATCH($A28,'Review &amp; Decision'!$A$7:$A$56,0)),""),"")</f>
        <v/>
      </c>
      <c r="AK28" s="14" t="str">
        <f>IF(COUNTIFS('Review &amp; Decision'!$A$7:$A$56,$A28,'Review &amp; Decision'!$B$7:$B$56,"&lt;&gt;")=1,IFERROR(INDEX('Review &amp; Decision'!$B$7:$B$56,MATCH($A28,'Review &amp; Decision'!$A$7:$A$56,0)),""),"")</f>
        <v/>
      </c>
      <c r="AL28" s="14" t="str">
        <f>IF(I28=1,IFERROR(INDEX(Actuals!$E$7:$E$56,MATCH($A28,Actuals!$A$7:$A$56,0)),""),"")</f>
        <v/>
      </c>
      <c r="AM28" s="14" t="str">
        <f>IF(I28=1,IFERROR(INDEX(Actuals!$F$7:$F$56,MATCH($A28,Actuals!$A$7:$A$56,0)),""),"")</f>
        <v/>
      </c>
      <c r="AN28" s="14" t="str">
        <f>IF(I28=1,IFERROR(INDEX(Actuals!$G$7:$G$56,MATCH($A28,Actuals!$A$7:$A$56,0)),""),"")</f>
        <v/>
      </c>
      <c r="AO28" s="14" t="str">
        <f>IF(I28=1,IFERROR(INDEX(Actuals!$G$7:$G$56,MATCH($A28,Actuals!$A$7:$A$56,0)),"")+IFERROR(INDEX(Actuals!$H$7:$H$56,MATCH($A28,Actuals!$A$7:$A$56,0)),""),"")</f>
        <v/>
      </c>
      <c r="AP28" s="14" t="str">
        <f>IF(COUNTIFS(Cases!$A$7:$A$56,$A28,Cases!$G$7:$G$56,"&lt;&gt;")=1,IFERROR(INDEX(Cases!$G$7:$G$56,MATCH($A28,Cases!$A$7:$A$56,0)),""),"")</f>
        <v/>
      </c>
    </row>
    <row r="29" spans="1:42" ht="43.9" customHeight="1">
      <c r="A29" s="14" t="s">
        <v>120</v>
      </c>
      <c r="B29" s="14" t="str">
        <f>IF(COUNTIFS(Cases!$A$7:$A$56,$A29,Cases!$B$7:$B$56,"&lt;&gt;")=1,IFERROR(INDEX(Cases!$B$7:$B$56,MATCH($A29,Cases!$A$7:$A$56,0)),""),"")</f>
        <v>Inactive</v>
      </c>
      <c r="C29" s="14" t="str">
        <f>IF(COUNTIFS(Cases!$A$7:$A$56,$A29,Cases!$C$7:$C$56,"&lt;&gt;")=1,IFERROR(INDEX(Cases!$C$7:$C$56,MATCH($A29,Cases!$A$7:$A$56,0)),""),"")</f>
        <v/>
      </c>
      <c r="D29" s="14">
        <f>IF(AND(AG29=1,OR(B29="Example",B29="Live"),OR(AP29="Simplify",AP29="Replace",AP29="Reduce scope",AP29="Retire",AP29="Retain"),COUNTIFS(Cases!$A$7:$A$56,$A29,Cases!$C$7:$C$56,"&lt;&gt;")=1,COUNTIFS(Cases!$A$7:$A$56,$A29,Cases!$D$7:$D$56,"&lt;&gt;")=1,COUNTIFS(Cases!$A$7:$A$56,$A29,Cases!$E$7:$E$56,"&lt;&gt;")=1,COUNTIFS(Cases!$A$7:$A$56,$A29,Cases!$F$7:$F$56,"&lt;&gt;")=1,COUNTIFS(Cases!$A$7:$A$56,$A29,Cases!$H$7:$H$56,"&lt;&gt;")=1,COUNTIFS(Cases!$A$7:$A$56,$A29,Cases!$I$7:$I$56,"&lt;&gt;")=1,LEN(TRIM(IF(COUNTIFS(Cases!$A$7:$A$56,$A29,Cases!$C$7:$C$56,"&lt;&gt;")=1,IFERROR(INDEX(Cases!$C$7:$C$56,MATCH($A29,Cases!$A$7:$A$56,0)),""),"")))&gt;0,LEN(TRIM(IF(COUNTIFS(Cases!$A$7:$A$56,$A29,Cases!$D$7:$D$56,"&lt;&gt;")=1,IFERROR(INDEX(Cases!$D$7:$D$56,MATCH($A29,Cases!$A$7:$A$56,0)),""),"")))&gt;0,LEN(TRIM(IF(COUNTIFS(Cases!$A$7:$A$56,$A29,Cases!$E$7:$E$56,"&lt;&gt;")=1,IFERROR(INDEX(Cases!$E$7:$E$56,MATCH($A29,Cases!$A$7:$A$56,0)),""),"")))&gt;0,LEN(TRIM(IF(COUNTIFS(Cases!$A$7:$A$56,$A29,Cases!$F$7:$F$56,"&lt;&gt;")=1,IFERROR(INDEX(Cases!$F$7:$F$56,MATCH($A29,Cases!$A$7:$A$56,0)),""),"")))&gt;0,LEN(TRIM(IF(COUNTIFS(Cases!$A$7:$A$56,$A29,Cases!$H$7:$H$56,"&lt;&gt;")=1,IFERROR(INDEX(Cases!$H$7:$H$56,MATCH($A29,Cases!$A$7:$A$56,0)),""),"")))&gt;0,LEN(TRIM(IF(COUNTIFS(Cases!$A$7:$A$56,$A29,Cases!$I$7:$I$56,"&lt;&gt;")=1,IFERROR(INDEX(Cases!$I$7:$I$56,MATCH($A29,Cases!$A$7:$A$56,0)),""),"")))&gt;0),1,0)</f>
        <v>0</v>
      </c>
      <c r="E29" s="14">
        <f>IF(AND(AG29=1,IFERROR(INDEX(Current!$G$7:$G$56,MATCH($A29,Current!$A$7:$A$56,0)),"")="Ready"),1,0)</f>
        <v>0</v>
      </c>
      <c r="F29" s="14">
        <f>IF(AND(AG29=1,IFERROR(INDEX(Proposed!$H$7:$H$56,MATCH($A29,Proposed!$A$7:$A$56,0)),"")="Ready",OR(AP29&lt;&gt;"Retain",AND(IFERROR(INDEX(Current!$B$7:$B$56,MATCH($A29,Current!$A$7:$A$56,0)),"")=IFERROR(INDEX(Proposed!$B$7:$B$56,MATCH($A29,Proposed!$A$7:$A$56,0)),""),IFERROR(INDEX(Current!$C$7:$C$56,MATCH($A29,Current!$A$7:$A$56,0)),"")=IFERROR(INDEX(Proposed!$C$7:$C$56,MATCH($A29,Proposed!$A$7:$A$56,0)),""),IFERROR(INDEX(Current!$D$7:$D$56,MATCH($A29,Current!$A$7:$A$56,0)),"")=IFERROR(INDEX(Proposed!$D$7:$D$56,MATCH($A29,Proposed!$A$7:$A$56,0)),""),IFERROR(INDEX(Current!$E$7:$E$56,MATCH($A29,Current!$A$7:$A$56,0)),"")=IFERROR(INDEX(Proposed!$E$7:$E$56,MATCH($A29,Proposed!$A$7:$A$56,0)),"")))),1,0)</f>
        <v>0</v>
      </c>
      <c r="G29" s="14" t="str">
        <f>IF(COUNTIFS('Challenge Review'!$A$7:$A$56,$A29,'Challenge Review'!$K$7:$K$56,"&lt;&gt;")=1,IFERROR(INDEX('Challenge Review'!$K$7:$K$56,MATCH($A29,'Challenge Review'!$A$7:$A$56,0)),""),"")</f>
        <v>Unchecked</v>
      </c>
      <c r="H29" s="14">
        <f>IF(AND(AG29=1,IFERROR(INDEX('Review &amp; Decision'!$B$7:$B$56,MATCH($A29,'Review &amp; Decision'!$A$7:$A$56,0)),"")="Evidence-backed",OR(IFERROR(INDEX('Review &amp; Decision'!$C$7:$C$56,MATCH($A29,'Review &amp; Decision'!$A$7:$A$56,0)),"")="Equivalent or better",AND(IFERROR(INDEX('Review &amp; Decision'!$C$7:$C$56,MATCH($A29,'Review &amp; Decision'!$A$7:$A$56,0)),"")="Accepted reduction",COUNTIFS('Review &amp; Decision'!$A$7:$A$56,$A29,'Review &amp; Decision'!$L$7:$L$56,"&lt;&gt;")=1)),COUNTIFS('Review &amp; Decision'!$A$7:$A$56,$A29,'Review &amp; Decision'!$D$7:$D$56,"&lt;&gt;")=1,COUNTIFS('Review &amp; Decision'!$A$7:$A$56,$A29,'Review &amp; Decision'!$F$7:$F$56,"&lt;&gt;")=1,OR(IFERROR(INDEX('Review &amp; Decision'!$E$7:$E$56,MATCH($A29,'Review &amp; Decision'!$A$7:$A$56,0)),"")="Approved",IFERROR(INDEX('Review &amp; Decision'!$E$7:$E$56,MATCH($A29,'Review &amp; Decision'!$A$7:$A$56,0)),"")="Implemented"),ISNUMBER(IFERROR(INDEX('Review &amp; Decision'!$G$7:$G$56,MATCH($A29,'Review &amp; Decision'!$A$7:$A$56,0)),"")),IFERROR(INDEX('Review &amp; Decision'!$G$7:$G$56,MATCH($A29,'Review &amp; Decision'!$A$7:$A$56,0)),"")&gt;0,IFERROR(INDEX('Review &amp; Decision'!$G$7:$G$56,MATCH($A29,'Review &amp; Decision'!$A$7:$A$56,0)),"")&lt;=Settings!$B$7,ISNUMBER(IFERROR(INDEX('Review &amp; Decision'!$I$7:$I$56,MATCH($A29,'Review &amp; Decision'!$A$7:$A$56,0)),"")),IFERROR(INDEX('Review &amp; Decision'!$I$7:$I$56,MATCH($A29,'Review &amp; Decision'!$A$7:$A$56,0)),"")&gt;0,IFERROR(INDEX('Review &amp; Decision'!$I$7:$I$56,MATCH($A29,'Review &amp; Decision'!$A$7:$A$56,0)),"")&lt;=Settings!$B$7,IFERROR(INDEX('Review &amp; Decision'!$I$7:$I$56,MATCH($A29,'Review &amp; Decision'!$A$7:$A$56,0)),"")&gt;=IFERROR(INDEX('Review &amp; Decision'!$G$7:$G$56,MATCH($A29,'Review &amp; Decision'!$A$7:$A$56,0)),""),COUNTIFS('Review &amp; Decision'!$A$7:$A$56,$A29,'Review &amp; Decision'!$J$7:$J$56,"&lt;&gt;")=1,COUNTIFS('Review &amp; Decision'!$A$7:$A$56,$A29,'Review &amp; Decision'!$K$7:$K$56,"&lt;&gt;")=1,ISNUMBER(IFERROR(INDEX('Review &amp; Decision'!$J$7:$J$56,MATCH($A29,'Review &amp; Decision'!$A$7:$A$56,0)),"")),IFERROR(INDEX('Review &amp; Decision'!$J$7:$J$56,MATCH($A29,'Review &amp; Decision'!$A$7:$A$56,0)),"")&gt;=0,IFERROR(INDEX('Review &amp; Decision'!$J$7:$J$56,MATCH($A29,'Review &amp; Decision'!$A$7:$A$56,0)),"")&lt;=1,ISNUMBER(IFERROR(INDEX('Review &amp; Decision'!$K$7:$K$56,MATCH($A29,'Review &amp; Decision'!$A$7:$A$56,0)),"")),IFERROR(INDEX('Review &amp; Decision'!$K$7:$K$56,MATCH($A29,'Review &amp; Decision'!$A$7:$A$56,0)),"")&gt;=0,IFERROR(INDEX('Review &amp; Decision'!$K$7:$K$56,MATCH($A29,'Review &amp; Decision'!$A$7:$A$56,0)),"")&lt;=1,ISNUMBER(Settings!$B$7),Settings!$B$7&gt;0,OR(Settings!$B$8="Approved + measured",Settings!$B$8="Measured only"),LEN(TRIM(IF(COUNTIFS('Review &amp; Decision'!$A$7:$A$56,$A29,'Review &amp; Decision'!$D$7:$D$56,"&lt;&gt;")=1,IFERROR(INDEX('Review &amp; Decision'!$D$7:$D$56,MATCH($A29,'Review &amp; Decision'!$A$7:$A$56,0)),""),"")))&gt;0,LEN(TRIM(IF(COUNTIFS('Review &amp; Decision'!$A$7:$A$56,$A29,'Review &amp; Decision'!$F$7:$F$56,"&lt;&gt;")=1,IFERROR(INDEX('Review &amp; Decision'!$F$7:$F$56,MATCH($A29,'Review &amp; Decision'!$A$7:$A$56,0)),""),"")))&gt;0,OR(IFERROR(INDEX('Review &amp; Decision'!$C$7:$C$56,MATCH($A29,'Review &amp; Decision'!$A$7:$A$56,0)),"")&lt;&gt;"Accepted reduction",LEN(TRIM(IF(COUNTIFS('Review &amp; Decision'!$A$7:$A$56,$A29,'Review &amp; Decision'!$L$7:$L$56,"&lt;&gt;")=1,IFERROR(INDEX('Review &amp; Decision'!$L$7:$L$56,MATCH($A29,'Review &amp; Decision'!$A$7:$A$56,0)),""),"")))&gt;0)),1,0)</f>
        <v>0</v>
      </c>
      <c r="I29" s="14">
        <f>IF(AND(AG29=1,IFERROR(INDEX(Actuals!$M$7:$M$56,MATCH($A29,Actuals!$A$7:$A$56,0)),"")="Ready",IFERROR(INDEX(Actuals!$D$7:$D$56,MATCH($A29,Actuals!$A$7:$A$56,0)),"")&gt;=IFERROR(INDEX('Review &amp; Decision'!$I$7:$I$56,MATCH($A29,'Review &amp; Decision'!$A$7:$A$56,0)),"")),1,0)</f>
        <v>0</v>
      </c>
      <c r="J29" s="14" t="str">
        <f t="shared" si="0"/>
        <v>Unused slot</v>
      </c>
      <c r="K29" s="14">
        <f t="shared" si="1"/>
        <v>0</v>
      </c>
      <c r="L29" s="14">
        <f t="shared" si="2"/>
        <v>0</v>
      </c>
      <c r="M29" s="14">
        <f>IF(OR(L29=1,AND(K29=1,Settings!$B$8="Approved + measured")),1,0)</f>
        <v>0</v>
      </c>
      <c r="N29" s="14" t="str">
        <f>IF(E29=1,IFERROR(INDEX(Current!$H$7:$H$56,MATCH($A29,Current!$A$7:$A$56,0)),""),"")</f>
        <v/>
      </c>
      <c r="O29" s="14" t="str">
        <f>IF(F29=1,IFERROR(INDEX(Proposed!$I$7:$I$56,MATCH($A29,Proposed!$A$7:$A$56,0)),""),"")</f>
        <v/>
      </c>
      <c r="P29" s="14" t="str">
        <f t="shared" si="3"/>
        <v/>
      </c>
      <c r="Q29" s="14" t="str">
        <f>IF(E29=1,IFERROR(INDEX(Current!$I$7:$I$56,MATCH($A29,Current!$A$7:$A$56,0)),""),"")</f>
        <v/>
      </c>
      <c r="R29" s="14" t="str">
        <f>IF(F29=1,IFERROR(INDEX(Proposed!$J$7:$J$56,MATCH($A29,Proposed!$A$7:$A$56,0)),""),"")</f>
        <v/>
      </c>
      <c r="S29" s="14" t="str">
        <f t="shared" si="4"/>
        <v/>
      </c>
      <c r="T29" s="14" t="str">
        <f>IF(E29=1,IFERROR(INDEX(Current!$E$7:$E$56,MATCH($A29,Current!$A$7:$A$56,0)),""),"")</f>
        <v/>
      </c>
      <c r="U29" s="14" t="str">
        <f>IF(F29=1,IFERROR(INDEX(Proposed!$E$7:$E$56,MATCH($A29,Proposed!$A$7:$A$56,0)),""),"")</f>
        <v/>
      </c>
      <c r="V29" s="14" t="str">
        <f t="shared" si="5"/>
        <v/>
      </c>
      <c r="W29" s="14" t="str">
        <f>IF(E29=1,IFERROR(INDEX(Current!$K$7:$K$56,MATCH($A29,Current!$A$7:$A$56,0)),""),"")</f>
        <v/>
      </c>
      <c r="X29" s="14" t="str">
        <f>IF(F29=1,IFERROR(INDEX(Proposed!$L$7:$L$56,MATCH($A29,Proposed!$A$7:$A$56,0)),""),"")</f>
        <v/>
      </c>
      <c r="Y29" s="14" t="str">
        <f t="shared" si="6"/>
        <v/>
      </c>
      <c r="Z29" s="14" t="str">
        <f>IF(F29=1,IFERROR(INDEX(Proposed!$F$7:$F$56,MATCH($A29,Proposed!$A$7:$A$56,0)),""),"")</f>
        <v/>
      </c>
      <c r="AA29" s="14">
        <f>IF(M29=1,IF(IF(L29=1,AL29,P29)&gt;0,IF(L29=1,AL29,P29)*IFERROR(INDEX('Review &amp; Decision'!$J$7:$J$56,MATCH($A29,'Review &amp; Decision'!$A$7:$A$56,0)),""),IF(L29=1,AL29,P29)),0)</f>
        <v>0</v>
      </c>
      <c r="AB29" s="14">
        <f>IF(M29=1,IF(IF(L29=1,AM29,S29)&gt;0,IF(L29=1,AM29,S29)*IFERROR(INDEX('Review &amp; Decision'!$K$7:$K$56,MATCH($A29,'Review &amp; Decision'!$A$7:$A$56,0)),""),IF(L29=1,AM29,S29)),0)</f>
        <v>0</v>
      </c>
      <c r="AC29" s="14">
        <f t="shared" si="7"/>
        <v>0</v>
      </c>
      <c r="AD29" s="14">
        <f t="shared" si="8"/>
        <v>0</v>
      </c>
      <c r="AE29" s="14">
        <f t="shared" si="9"/>
        <v>0</v>
      </c>
      <c r="AF29" s="14" t="str">
        <f t="shared" si="10"/>
        <v>No measurement warning</v>
      </c>
      <c r="AG29" s="14">
        <f>IF(AND(COUNTIF(Cases!$A$7:$A$56,$A29)=1,COUNTIF(Current!$A$7:$A$56,$A29)=1,COUNTIF(Proposed!$A$7:$A$56,$A29)=1,COUNTIF('Review &amp; Decision'!$A$7:$A$56,$A29)=1,COUNTIF('Challenge Review'!$A$7:$A$56,$A29)=1,COUNTIF(Actuals!$A$7:$A$56,$A29)=1,COUNTIF(Classification!$A$7:$A$56,$A29)=1),1,0)</f>
        <v>1</v>
      </c>
      <c r="AH29" s="14">
        <f t="shared" si="11"/>
        <v>0</v>
      </c>
      <c r="AI29" s="14" t="str">
        <f>IF(COUNTIFS('Review &amp; Decision'!$A$7:$A$56,$A29,'Review &amp; Decision'!$H$7:$H$56,"&lt;&gt;")=1,IFERROR(INDEX('Review &amp; Decision'!$H$7:$H$56,MATCH($A29,'Review &amp; Decision'!$A$7:$A$56,0)),""),"")</f>
        <v/>
      </c>
      <c r="AJ29" s="14" t="str">
        <f>IF(COUNTIFS('Review &amp; Decision'!$A$7:$A$56,$A29,'Review &amp; Decision'!$E$7:$E$56,"&lt;&gt;")=1,IFERROR(INDEX('Review &amp; Decision'!$E$7:$E$56,MATCH($A29,'Review &amp; Decision'!$A$7:$A$56,0)),""),"")</f>
        <v/>
      </c>
      <c r="AK29" s="14" t="str">
        <f>IF(COUNTIFS('Review &amp; Decision'!$A$7:$A$56,$A29,'Review &amp; Decision'!$B$7:$B$56,"&lt;&gt;")=1,IFERROR(INDEX('Review &amp; Decision'!$B$7:$B$56,MATCH($A29,'Review &amp; Decision'!$A$7:$A$56,0)),""),"")</f>
        <v/>
      </c>
      <c r="AL29" s="14" t="str">
        <f>IF(I29=1,IFERROR(INDEX(Actuals!$E$7:$E$56,MATCH($A29,Actuals!$A$7:$A$56,0)),""),"")</f>
        <v/>
      </c>
      <c r="AM29" s="14" t="str">
        <f>IF(I29=1,IFERROR(INDEX(Actuals!$F$7:$F$56,MATCH($A29,Actuals!$A$7:$A$56,0)),""),"")</f>
        <v/>
      </c>
      <c r="AN29" s="14" t="str">
        <f>IF(I29=1,IFERROR(INDEX(Actuals!$G$7:$G$56,MATCH($A29,Actuals!$A$7:$A$56,0)),""),"")</f>
        <v/>
      </c>
      <c r="AO29" s="14" t="str">
        <f>IF(I29=1,IFERROR(INDEX(Actuals!$G$7:$G$56,MATCH($A29,Actuals!$A$7:$A$56,0)),"")+IFERROR(INDEX(Actuals!$H$7:$H$56,MATCH($A29,Actuals!$A$7:$A$56,0)),""),"")</f>
        <v/>
      </c>
      <c r="AP29" s="14" t="str">
        <f>IF(COUNTIFS(Cases!$A$7:$A$56,$A29,Cases!$G$7:$G$56,"&lt;&gt;")=1,IFERROR(INDEX(Cases!$G$7:$G$56,MATCH($A29,Cases!$A$7:$A$56,0)),""),"")</f>
        <v/>
      </c>
    </row>
    <row r="30" spans="1:42" ht="43.9" customHeight="1">
      <c r="A30" s="14" t="s">
        <v>121</v>
      </c>
      <c r="B30" s="14" t="str">
        <f>IF(COUNTIFS(Cases!$A$7:$A$56,$A30,Cases!$B$7:$B$56,"&lt;&gt;")=1,IFERROR(INDEX(Cases!$B$7:$B$56,MATCH($A30,Cases!$A$7:$A$56,0)),""),"")</f>
        <v>Inactive</v>
      </c>
      <c r="C30" s="14" t="str">
        <f>IF(COUNTIFS(Cases!$A$7:$A$56,$A30,Cases!$C$7:$C$56,"&lt;&gt;")=1,IFERROR(INDEX(Cases!$C$7:$C$56,MATCH($A30,Cases!$A$7:$A$56,0)),""),"")</f>
        <v/>
      </c>
      <c r="D30" s="14">
        <f>IF(AND(AG30=1,OR(B30="Example",B30="Live"),OR(AP30="Simplify",AP30="Replace",AP30="Reduce scope",AP30="Retire",AP30="Retain"),COUNTIFS(Cases!$A$7:$A$56,$A30,Cases!$C$7:$C$56,"&lt;&gt;")=1,COUNTIFS(Cases!$A$7:$A$56,$A30,Cases!$D$7:$D$56,"&lt;&gt;")=1,COUNTIFS(Cases!$A$7:$A$56,$A30,Cases!$E$7:$E$56,"&lt;&gt;")=1,COUNTIFS(Cases!$A$7:$A$56,$A30,Cases!$F$7:$F$56,"&lt;&gt;")=1,COUNTIFS(Cases!$A$7:$A$56,$A30,Cases!$H$7:$H$56,"&lt;&gt;")=1,COUNTIFS(Cases!$A$7:$A$56,$A30,Cases!$I$7:$I$56,"&lt;&gt;")=1,LEN(TRIM(IF(COUNTIFS(Cases!$A$7:$A$56,$A30,Cases!$C$7:$C$56,"&lt;&gt;")=1,IFERROR(INDEX(Cases!$C$7:$C$56,MATCH($A30,Cases!$A$7:$A$56,0)),""),"")))&gt;0,LEN(TRIM(IF(COUNTIFS(Cases!$A$7:$A$56,$A30,Cases!$D$7:$D$56,"&lt;&gt;")=1,IFERROR(INDEX(Cases!$D$7:$D$56,MATCH($A30,Cases!$A$7:$A$56,0)),""),"")))&gt;0,LEN(TRIM(IF(COUNTIFS(Cases!$A$7:$A$56,$A30,Cases!$E$7:$E$56,"&lt;&gt;")=1,IFERROR(INDEX(Cases!$E$7:$E$56,MATCH($A30,Cases!$A$7:$A$56,0)),""),"")))&gt;0,LEN(TRIM(IF(COUNTIFS(Cases!$A$7:$A$56,$A30,Cases!$F$7:$F$56,"&lt;&gt;")=1,IFERROR(INDEX(Cases!$F$7:$F$56,MATCH($A30,Cases!$A$7:$A$56,0)),""),"")))&gt;0,LEN(TRIM(IF(COUNTIFS(Cases!$A$7:$A$56,$A30,Cases!$H$7:$H$56,"&lt;&gt;")=1,IFERROR(INDEX(Cases!$H$7:$H$56,MATCH($A30,Cases!$A$7:$A$56,0)),""),"")))&gt;0,LEN(TRIM(IF(COUNTIFS(Cases!$A$7:$A$56,$A30,Cases!$I$7:$I$56,"&lt;&gt;")=1,IFERROR(INDEX(Cases!$I$7:$I$56,MATCH($A30,Cases!$A$7:$A$56,0)),""),"")))&gt;0),1,0)</f>
        <v>0</v>
      </c>
      <c r="E30" s="14">
        <f>IF(AND(AG30=1,IFERROR(INDEX(Current!$G$7:$G$56,MATCH($A30,Current!$A$7:$A$56,0)),"")="Ready"),1,0)</f>
        <v>0</v>
      </c>
      <c r="F30" s="14">
        <f>IF(AND(AG30=1,IFERROR(INDEX(Proposed!$H$7:$H$56,MATCH($A30,Proposed!$A$7:$A$56,0)),"")="Ready",OR(AP30&lt;&gt;"Retain",AND(IFERROR(INDEX(Current!$B$7:$B$56,MATCH($A30,Current!$A$7:$A$56,0)),"")=IFERROR(INDEX(Proposed!$B$7:$B$56,MATCH($A30,Proposed!$A$7:$A$56,0)),""),IFERROR(INDEX(Current!$C$7:$C$56,MATCH($A30,Current!$A$7:$A$56,0)),"")=IFERROR(INDEX(Proposed!$C$7:$C$56,MATCH($A30,Proposed!$A$7:$A$56,0)),""),IFERROR(INDEX(Current!$D$7:$D$56,MATCH($A30,Current!$A$7:$A$56,0)),"")=IFERROR(INDEX(Proposed!$D$7:$D$56,MATCH($A30,Proposed!$A$7:$A$56,0)),""),IFERROR(INDEX(Current!$E$7:$E$56,MATCH($A30,Current!$A$7:$A$56,0)),"")=IFERROR(INDEX(Proposed!$E$7:$E$56,MATCH($A30,Proposed!$A$7:$A$56,0)),"")))),1,0)</f>
        <v>0</v>
      </c>
      <c r="G30" s="14" t="str">
        <f>IF(COUNTIFS('Challenge Review'!$A$7:$A$56,$A30,'Challenge Review'!$K$7:$K$56,"&lt;&gt;")=1,IFERROR(INDEX('Challenge Review'!$K$7:$K$56,MATCH($A30,'Challenge Review'!$A$7:$A$56,0)),""),"")</f>
        <v>Unchecked</v>
      </c>
      <c r="H30" s="14">
        <f>IF(AND(AG30=1,IFERROR(INDEX('Review &amp; Decision'!$B$7:$B$56,MATCH($A30,'Review &amp; Decision'!$A$7:$A$56,0)),"")="Evidence-backed",OR(IFERROR(INDEX('Review &amp; Decision'!$C$7:$C$56,MATCH($A30,'Review &amp; Decision'!$A$7:$A$56,0)),"")="Equivalent or better",AND(IFERROR(INDEX('Review &amp; Decision'!$C$7:$C$56,MATCH($A30,'Review &amp; Decision'!$A$7:$A$56,0)),"")="Accepted reduction",COUNTIFS('Review &amp; Decision'!$A$7:$A$56,$A30,'Review &amp; Decision'!$L$7:$L$56,"&lt;&gt;")=1)),COUNTIFS('Review &amp; Decision'!$A$7:$A$56,$A30,'Review &amp; Decision'!$D$7:$D$56,"&lt;&gt;")=1,COUNTIFS('Review &amp; Decision'!$A$7:$A$56,$A30,'Review &amp; Decision'!$F$7:$F$56,"&lt;&gt;")=1,OR(IFERROR(INDEX('Review &amp; Decision'!$E$7:$E$56,MATCH($A30,'Review &amp; Decision'!$A$7:$A$56,0)),"")="Approved",IFERROR(INDEX('Review &amp; Decision'!$E$7:$E$56,MATCH($A30,'Review &amp; Decision'!$A$7:$A$56,0)),"")="Implemented"),ISNUMBER(IFERROR(INDEX('Review &amp; Decision'!$G$7:$G$56,MATCH($A30,'Review &amp; Decision'!$A$7:$A$56,0)),"")),IFERROR(INDEX('Review &amp; Decision'!$G$7:$G$56,MATCH($A30,'Review &amp; Decision'!$A$7:$A$56,0)),"")&gt;0,IFERROR(INDEX('Review &amp; Decision'!$G$7:$G$56,MATCH($A30,'Review &amp; Decision'!$A$7:$A$56,0)),"")&lt;=Settings!$B$7,ISNUMBER(IFERROR(INDEX('Review &amp; Decision'!$I$7:$I$56,MATCH($A30,'Review &amp; Decision'!$A$7:$A$56,0)),"")),IFERROR(INDEX('Review &amp; Decision'!$I$7:$I$56,MATCH($A30,'Review &amp; Decision'!$A$7:$A$56,0)),"")&gt;0,IFERROR(INDEX('Review &amp; Decision'!$I$7:$I$56,MATCH($A30,'Review &amp; Decision'!$A$7:$A$56,0)),"")&lt;=Settings!$B$7,IFERROR(INDEX('Review &amp; Decision'!$I$7:$I$56,MATCH($A30,'Review &amp; Decision'!$A$7:$A$56,0)),"")&gt;=IFERROR(INDEX('Review &amp; Decision'!$G$7:$G$56,MATCH($A30,'Review &amp; Decision'!$A$7:$A$56,0)),""),COUNTIFS('Review &amp; Decision'!$A$7:$A$56,$A30,'Review &amp; Decision'!$J$7:$J$56,"&lt;&gt;")=1,COUNTIFS('Review &amp; Decision'!$A$7:$A$56,$A30,'Review &amp; Decision'!$K$7:$K$56,"&lt;&gt;")=1,ISNUMBER(IFERROR(INDEX('Review &amp; Decision'!$J$7:$J$56,MATCH($A30,'Review &amp; Decision'!$A$7:$A$56,0)),"")),IFERROR(INDEX('Review &amp; Decision'!$J$7:$J$56,MATCH($A30,'Review &amp; Decision'!$A$7:$A$56,0)),"")&gt;=0,IFERROR(INDEX('Review &amp; Decision'!$J$7:$J$56,MATCH($A30,'Review &amp; Decision'!$A$7:$A$56,0)),"")&lt;=1,ISNUMBER(IFERROR(INDEX('Review &amp; Decision'!$K$7:$K$56,MATCH($A30,'Review &amp; Decision'!$A$7:$A$56,0)),"")),IFERROR(INDEX('Review &amp; Decision'!$K$7:$K$56,MATCH($A30,'Review &amp; Decision'!$A$7:$A$56,0)),"")&gt;=0,IFERROR(INDEX('Review &amp; Decision'!$K$7:$K$56,MATCH($A30,'Review &amp; Decision'!$A$7:$A$56,0)),"")&lt;=1,ISNUMBER(Settings!$B$7),Settings!$B$7&gt;0,OR(Settings!$B$8="Approved + measured",Settings!$B$8="Measured only"),LEN(TRIM(IF(COUNTIFS('Review &amp; Decision'!$A$7:$A$56,$A30,'Review &amp; Decision'!$D$7:$D$56,"&lt;&gt;")=1,IFERROR(INDEX('Review &amp; Decision'!$D$7:$D$56,MATCH($A30,'Review &amp; Decision'!$A$7:$A$56,0)),""),"")))&gt;0,LEN(TRIM(IF(COUNTIFS('Review &amp; Decision'!$A$7:$A$56,$A30,'Review &amp; Decision'!$F$7:$F$56,"&lt;&gt;")=1,IFERROR(INDEX('Review &amp; Decision'!$F$7:$F$56,MATCH($A30,'Review &amp; Decision'!$A$7:$A$56,0)),""),"")))&gt;0,OR(IFERROR(INDEX('Review &amp; Decision'!$C$7:$C$56,MATCH($A30,'Review &amp; Decision'!$A$7:$A$56,0)),"")&lt;&gt;"Accepted reduction",LEN(TRIM(IF(COUNTIFS('Review &amp; Decision'!$A$7:$A$56,$A30,'Review &amp; Decision'!$L$7:$L$56,"&lt;&gt;")=1,IFERROR(INDEX('Review &amp; Decision'!$L$7:$L$56,MATCH($A30,'Review &amp; Decision'!$A$7:$A$56,0)),""),"")))&gt;0)),1,0)</f>
        <v>0</v>
      </c>
      <c r="I30" s="14">
        <f>IF(AND(AG30=1,IFERROR(INDEX(Actuals!$M$7:$M$56,MATCH($A30,Actuals!$A$7:$A$56,0)),"")="Ready",IFERROR(INDEX(Actuals!$D$7:$D$56,MATCH($A30,Actuals!$A$7:$A$56,0)),"")&gt;=IFERROR(INDEX('Review &amp; Decision'!$I$7:$I$56,MATCH($A30,'Review &amp; Decision'!$A$7:$A$56,0)),"")),1,0)</f>
        <v>0</v>
      </c>
      <c r="J30" s="14" t="str">
        <f t="shared" si="0"/>
        <v>Unused slot</v>
      </c>
      <c r="K30" s="14">
        <f t="shared" si="1"/>
        <v>0</v>
      </c>
      <c r="L30" s="14">
        <f t="shared" si="2"/>
        <v>0</v>
      </c>
      <c r="M30" s="14">
        <f>IF(OR(L30=1,AND(K30=1,Settings!$B$8="Approved + measured")),1,0)</f>
        <v>0</v>
      </c>
      <c r="N30" s="14" t="str">
        <f>IF(E30=1,IFERROR(INDEX(Current!$H$7:$H$56,MATCH($A30,Current!$A$7:$A$56,0)),""),"")</f>
        <v/>
      </c>
      <c r="O30" s="14" t="str">
        <f>IF(F30=1,IFERROR(INDEX(Proposed!$I$7:$I$56,MATCH($A30,Proposed!$A$7:$A$56,0)),""),"")</f>
        <v/>
      </c>
      <c r="P30" s="14" t="str">
        <f t="shared" si="3"/>
        <v/>
      </c>
      <c r="Q30" s="14" t="str">
        <f>IF(E30=1,IFERROR(INDEX(Current!$I$7:$I$56,MATCH($A30,Current!$A$7:$A$56,0)),""),"")</f>
        <v/>
      </c>
      <c r="R30" s="14" t="str">
        <f>IF(F30=1,IFERROR(INDEX(Proposed!$J$7:$J$56,MATCH($A30,Proposed!$A$7:$A$56,0)),""),"")</f>
        <v/>
      </c>
      <c r="S30" s="14" t="str">
        <f t="shared" si="4"/>
        <v/>
      </c>
      <c r="T30" s="14" t="str">
        <f>IF(E30=1,IFERROR(INDEX(Current!$E$7:$E$56,MATCH($A30,Current!$A$7:$A$56,0)),""),"")</f>
        <v/>
      </c>
      <c r="U30" s="14" t="str">
        <f>IF(F30=1,IFERROR(INDEX(Proposed!$E$7:$E$56,MATCH($A30,Proposed!$A$7:$A$56,0)),""),"")</f>
        <v/>
      </c>
      <c r="V30" s="14" t="str">
        <f t="shared" si="5"/>
        <v/>
      </c>
      <c r="W30" s="14" t="str">
        <f>IF(E30=1,IFERROR(INDEX(Current!$K$7:$K$56,MATCH($A30,Current!$A$7:$A$56,0)),""),"")</f>
        <v/>
      </c>
      <c r="X30" s="14" t="str">
        <f>IF(F30=1,IFERROR(INDEX(Proposed!$L$7:$L$56,MATCH($A30,Proposed!$A$7:$A$56,0)),""),"")</f>
        <v/>
      </c>
      <c r="Y30" s="14" t="str">
        <f t="shared" si="6"/>
        <v/>
      </c>
      <c r="Z30" s="14" t="str">
        <f>IF(F30=1,IFERROR(INDEX(Proposed!$F$7:$F$56,MATCH($A30,Proposed!$A$7:$A$56,0)),""),"")</f>
        <v/>
      </c>
      <c r="AA30" s="14">
        <f>IF(M30=1,IF(IF(L30=1,AL30,P30)&gt;0,IF(L30=1,AL30,P30)*IFERROR(INDEX('Review &amp; Decision'!$J$7:$J$56,MATCH($A30,'Review &amp; Decision'!$A$7:$A$56,0)),""),IF(L30=1,AL30,P30)),0)</f>
        <v>0</v>
      </c>
      <c r="AB30" s="14">
        <f>IF(M30=1,IF(IF(L30=1,AM30,S30)&gt;0,IF(L30=1,AM30,S30)*IFERROR(INDEX('Review &amp; Decision'!$K$7:$K$56,MATCH($A30,'Review &amp; Decision'!$A$7:$A$56,0)),""),IF(L30=1,AM30,S30)),0)</f>
        <v>0</v>
      </c>
      <c r="AC30" s="14">
        <f t="shared" si="7"/>
        <v>0</v>
      </c>
      <c r="AD30" s="14">
        <f t="shared" si="8"/>
        <v>0</v>
      </c>
      <c r="AE30" s="14">
        <f t="shared" si="9"/>
        <v>0</v>
      </c>
      <c r="AF30" s="14" t="str">
        <f t="shared" si="10"/>
        <v>No measurement warning</v>
      </c>
      <c r="AG30" s="14">
        <f>IF(AND(COUNTIF(Cases!$A$7:$A$56,$A30)=1,COUNTIF(Current!$A$7:$A$56,$A30)=1,COUNTIF(Proposed!$A$7:$A$56,$A30)=1,COUNTIF('Review &amp; Decision'!$A$7:$A$56,$A30)=1,COUNTIF('Challenge Review'!$A$7:$A$56,$A30)=1,COUNTIF(Actuals!$A$7:$A$56,$A30)=1,COUNTIF(Classification!$A$7:$A$56,$A30)=1),1,0)</f>
        <v>1</v>
      </c>
      <c r="AH30" s="14">
        <f t="shared" si="11"/>
        <v>0</v>
      </c>
      <c r="AI30" s="14" t="str">
        <f>IF(COUNTIFS('Review &amp; Decision'!$A$7:$A$56,$A30,'Review &amp; Decision'!$H$7:$H$56,"&lt;&gt;")=1,IFERROR(INDEX('Review &amp; Decision'!$H$7:$H$56,MATCH($A30,'Review &amp; Decision'!$A$7:$A$56,0)),""),"")</f>
        <v/>
      </c>
      <c r="AJ30" s="14" t="str">
        <f>IF(COUNTIFS('Review &amp; Decision'!$A$7:$A$56,$A30,'Review &amp; Decision'!$E$7:$E$56,"&lt;&gt;")=1,IFERROR(INDEX('Review &amp; Decision'!$E$7:$E$56,MATCH($A30,'Review &amp; Decision'!$A$7:$A$56,0)),""),"")</f>
        <v/>
      </c>
      <c r="AK30" s="14" t="str">
        <f>IF(COUNTIFS('Review &amp; Decision'!$A$7:$A$56,$A30,'Review &amp; Decision'!$B$7:$B$56,"&lt;&gt;")=1,IFERROR(INDEX('Review &amp; Decision'!$B$7:$B$56,MATCH($A30,'Review &amp; Decision'!$A$7:$A$56,0)),""),"")</f>
        <v/>
      </c>
      <c r="AL30" s="14" t="str">
        <f>IF(I30=1,IFERROR(INDEX(Actuals!$E$7:$E$56,MATCH($A30,Actuals!$A$7:$A$56,0)),""),"")</f>
        <v/>
      </c>
      <c r="AM30" s="14" t="str">
        <f>IF(I30=1,IFERROR(INDEX(Actuals!$F$7:$F$56,MATCH($A30,Actuals!$A$7:$A$56,0)),""),"")</f>
        <v/>
      </c>
      <c r="AN30" s="14" t="str">
        <f>IF(I30=1,IFERROR(INDEX(Actuals!$G$7:$G$56,MATCH($A30,Actuals!$A$7:$A$56,0)),""),"")</f>
        <v/>
      </c>
      <c r="AO30" s="14" t="str">
        <f>IF(I30=1,IFERROR(INDEX(Actuals!$G$7:$G$56,MATCH($A30,Actuals!$A$7:$A$56,0)),"")+IFERROR(INDEX(Actuals!$H$7:$H$56,MATCH($A30,Actuals!$A$7:$A$56,0)),""),"")</f>
        <v/>
      </c>
      <c r="AP30" s="14" t="str">
        <f>IF(COUNTIFS(Cases!$A$7:$A$56,$A30,Cases!$G$7:$G$56,"&lt;&gt;")=1,IFERROR(INDEX(Cases!$G$7:$G$56,MATCH($A30,Cases!$A$7:$A$56,0)),""),"")</f>
        <v/>
      </c>
    </row>
    <row r="31" spans="1:42" ht="43.9" customHeight="1">
      <c r="A31" s="14" t="s">
        <v>122</v>
      </c>
      <c r="B31" s="14" t="str">
        <f>IF(COUNTIFS(Cases!$A$7:$A$56,$A31,Cases!$B$7:$B$56,"&lt;&gt;")=1,IFERROR(INDEX(Cases!$B$7:$B$56,MATCH($A31,Cases!$A$7:$A$56,0)),""),"")</f>
        <v>Inactive</v>
      </c>
      <c r="C31" s="14" t="str">
        <f>IF(COUNTIFS(Cases!$A$7:$A$56,$A31,Cases!$C$7:$C$56,"&lt;&gt;")=1,IFERROR(INDEX(Cases!$C$7:$C$56,MATCH($A31,Cases!$A$7:$A$56,0)),""),"")</f>
        <v/>
      </c>
      <c r="D31" s="14">
        <f>IF(AND(AG31=1,OR(B31="Example",B31="Live"),OR(AP31="Simplify",AP31="Replace",AP31="Reduce scope",AP31="Retire",AP31="Retain"),COUNTIFS(Cases!$A$7:$A$56,$A31,Cases!$C$7:$C$56,"&lt;&gt;")=1,COUNTIFS(Cases!$A$7:$A$56,$A31,Cases!$D$7:$D$56,"&lt;&gt;")=1,COUNTIFS(Cases!$A$7:$A$56,$A31,Cases!$E$7:$E$56,"&lt;&gt;")=1,COUNTIFS(Cases!$A$7:$A$56,$A31,Cases!$F$7:$F$56,"&lt;&gt;")=1,COUNTIFS(Cases!$A$7:$A$56,$A31,Cases!$H$7:$H$56,"&lt;&gt;")=1,COUNTIFS(Cases!$A$7:$A$56,$A31,Cases!$I$7:$I$56,"&lt;&gt;")=1,LEN(TRIM(IF(COUNTIFS(Cases!$A$7:$A$56,$A31,Cases!$C$7:$C$56,"&lt;&gt;")=1,IFERROR(INDEX(Cases!$C$7:$C$56,MATCH($A31,Cases!$A$7:$A$56,0)),""),"")))&gt;0,LEN(TRIM(IF(COUNTIFS(Cases!$A$7:$A$56,$A31,Cases!$D$7:$D$56,"&lt;&gt;")=1,IFERROR(INDEX(Cases!$D$7:$D$56,MATCH($A31,Cases!$A$7:$A$56,0)),""),"")))&gt;0,LEN(TRIM(IF(COUNTIFS(Cases!$A$7:$A$56,$A31,Cases!$E$7:$E$56,"&lt;&gt;")=1,IFERROR(INDEX(Cases!$E$7:$E$56,MATCH($A31,Cases!$A$7:$A$56,0)),""),"")))&gt;0,LEN(TRIM(IF(COUNTIFS(Cases!$A$7:$A$56,$A31,Cases!$F$7:$F$56,"&lt;&gt;")=1,IFERROR(INDEX(Cases!$F$7:$F$56,MATCH($A31,Cases!$A$7:$A$56,0)),""),"")))&gt;0,LEN(TRIM(IF(COUNTIFS(Cases!$A$7:$A$56,$A31,Cases!$H$7:$H$56,"&lt;&gt;")=1,IFERROR(INDEX(Cases!$H$7:$H$56,MATCH($A31,Cases!$A$7:$A$56,0)),""),"")))&gt;0,LEN(TRIM(IF(COUNTIFS(Cases!$A$7:$A$56,$A31,Cases!$I$7:$I$56,"&lt;&gt;")=1,IFERROR(INDEX(Cases!$I$7:$I$56,MATCH($A31,Cases!$A$7:$A$56,0)),""),"")))&gt;0),1,0)</f>
        <v>0</v>
      </c>
      <c r="E31" s="14">
        <f>IF(AND(AG31=1,IFERROR(INDEX(Current!$G$7:$G$56,MATCH($A31,Current!$A$7:$A$56,0)),"")="Ready"),1,0)</f>
        <v>0</v>
      </c>
      <c r="F31" s="14">
        <f>IF(AND(AG31=1,IFERROR(INDEX(Proposed!$H$7:$H$56,MATCH($A31,Proposed!$A$7:$A$56,0)),"")="Ready",OR(AP31&lt;&gt;"Retain",AND(IFERROR(INDEX(Current!$B$7:$B$56,MATCH($A31,Current!$A$7:$A$56,0)),"")=IFERROR(INDEX(Proposed!$B$7:$B$56,MATCH($A31,Proposed!$A$7:$A$56,0)),""),IFERROR(INDEX(Current!$C$7:$C$56,MATCH($A31,Current!$A$7:$A$56,0)),"")=IFERROR(INDEX(Proposed!$C$7:$C$56,MATCH($A31,Proposed!$A$7:$A$56,0)),""),IFERROR(INDEX(Current!$D$7:$D$56,MATCH($A31,Current!$A$7:$A$56,0)),"")=IFERROR(INDEX(Proposed!$D$7:$D$56,MATCH($A31,Proposed!$A$7:$A$56,0)),""),IFERROR(INDEX(Current!$E$7:$E$56,MATCH($A31,Current!$A$7:$A$56,0)),"")=IFERROR(INDEX(Proposed!$E$7:$E$56,MATCH($A31,Proposed!$A$7:$A$56,0)),"")))),1,0)</f>
        <v>0</v>
      </c>
      <c r="G31" s="14" t="str">
        <f>IF(COUNTIFS('Challenge Review'!$A$7:$A$56,$A31,'Challenge Review'!$K$7:$K$56,"&lt;&gt;")=1,IFERROR(INDEX('Challenge Review'!$K$7:$K$56,MATCH($A31,'Challenge Review'!$A$7:$A$56,0)),""),"")</f>
        <v>Unchecked</v>
      </c>
      <c r="H31" s="14">
        <f>IF(AND(AG31=1,IFERROR(INDEX('Review &amp; Decision'!$B$7:$B$56,MATCH($A31,'Review &amp; Decision'!$A$7:$A$56,0)),"")="Evidence-backed",OR(IFERROR(INDEX('Review &amp; Decision'!$C$7:$C$56,MATCH($A31,'Review &amp; Decision'!$A$7:$A$56,0)),"")="Equivalent or better",AND(IFERROR(INDEX('Review &amp; Decision'!$C$7:$C$56,MATCH($A31,'Review &amp; Decision'!$A$7:$A$56,0)),"")="Accepted reduction",COUNTIFS('Review &amp; Decision'!$A$7:$A$56,$A31,'Review &amp; Decision'!$L$7:$L$56,"&lt;&gt;")=1)),COUNTIFS('Review &amp; Decision'!$A$7:$A$56,$A31,'Review &amp; Decision'!$D$7:$D$56,"&lt;&gt;")=1,COUNTIFS('Review &amp; Decision'!$A$7:$A$56,$A31,'Review &amp; Decision'!$F$7:$F$56,"&lt;&gt;")=1,OR(IFERROR(INDEX('Review &amp; Decision'!$E$7:$E$56,MATCH($A31,'Review &amp; Decision'!$A$7:$A$56,0)),"")="Approved",IFERROR(INDEX('Review &amp; Decision'!$E$7:$E$56,MATCH($A31,'Review &amp; Decision'!$A$7:$A$56,0)),"")="Implemented"),ISNUMBER(IFERROR(INDEX('Review &amp; Decision'!$G$7:$G$56,MATCH($A31,'Review &amp; Decision'!$A$7:$A$56,0)),"")),IFERROR(INDEX('Review &amp; Decision'!$G$7:$G$56,MATCH($A31,'Review &amp; Decision'!$A$7:$A$56,0)),"")&gt;0,IFERROR(INDEX('Review &amp; Decision'!$G$7:$G$56,MATCH($A31,'Review &amp; Decision'!$A$7:$A$56,0)),"")&lt;=Settings!$B$7,ISNUMBER(IFERROR(INDEX('Review &amp; Decision'!$I$7:$I$56,MATCH($A31,'Review &amp; Decision'!$A$7:$A$56,0)),"")),IFERROR(INDEX('Review &amp; Decision'!$I$7:$I$56,MATCH($A31,'Review &amp; Decision'!$A$7:$A$56,0)),"")&gt;0,IFERROR(INDEX('Review &amp; Decision'!$I$7:$I$56,MATCH($A31,'Review &amp; Decision'!$A$7:$A$56,0)),"")&lt;=Settings!$B$7,IFERROR(INDEX('Review &amp; Decision'!$I$7:$I$56,MATCH($A31,'Review &amp; Decision'!$A$7:$A$56,0)),"")&gt;=IFERROR(INDEX('Review &amp; Decision'!$G$7:$G$56,MATCH($A31,'Review &amp; Decision'!$A$7:$A$56,0)),""),COUNTIFS('Review &amp; Decision'!$A$7:$A$56,$A31,'Review &amp; Decision'!$J$7:$J$56,"&lt;&gt;")=1,COUNTIFS('Review &amp; Decision'!$A$7:$A$56,$A31,'Review &amp; Decision'!$K$7:$K$56,"&lt;&gt;")=1,ISNUMBER(IFERROR(INDEX('Review &amp; Decision'!$J$7:$J$56,MATCH($A31,'Review &amp; Decision'!$A$7:$A$56,0)),"")),IFERROR(INDEX('Review &amp; Decision'!$J$7:$J$56,MATCH($A31,'Review &amp; Decision'!$A$7:$A$56,0)),"")&gt;=0,IFERROR(INDEX('Review &amp; Decision'!$J$7:$J$56,MATCH($A31,'Review &amp; Decision'!$A$7:$A$56,0)),"")&lt;=1,ISNUMBER(IFERROR(INDEX('Review &amp; Decision'!$K$7:$K$56,MATCH($A31,'Review &amp; Decision'!$A$7:$A$56,0)),"")),IFERROR(INDEX('Review &amp; Decision'!$K$7:$K$56,MATCH($A31,'Review &amp; Decision'!$A$7:$A$56,0)),"")&gt;=0,IFERROR(INDEX('Review &amp; Decision'!$K$7:$K$56,MATCH($A31,'Review &amp; Decision'!$A$7:$A$56,0)),"")&lt;=1,ISNUMBER(Settings!$B$7),Settings!$B$7&gt;0,OR(Settings!$B$8="Approved + measured",Settings!$B$8="Measured only"),LEN(TRIM(IF(COUNTIFS('Review &amp; Decision'!$A$7:$A$56,$A31,'Review &amp; Decision'!$D$7:$D$56,"&lt;&gt;")=1,IFERROR(INDEX('Review &amp; Decision'!$D$7:$D$56,MATCH($A31,'Review &amp; Decision'!$A$7:$A$56,0)),""),"")))&gt;0,LEN(TRIM(IF(COUNTIFS('Review &amp; Decision'!$A$7:$A$56,$A31,'Review &amp; Decision'!$F$7:$F$56,"&lt;&gt;")=1,IFERROR(INDEX('Review &amp; Decision'!$F$7:$F$56,MATCH($A31,'Review &amp; Decision'!$A$7:$A$56,0)),""),"")))&gt;0,OR(IFERROR(INDEX('Review &amp; Decision'!$C$7:$C$56,MATCH($A31,'Review &amp; Decision'!$A$7:$A$56,0)),"")&lt;&gt;"Accepted reduction",LEN(TRIM(IF(COUNTIFS('Review &amp; Decision'!$A$7:$A$56,$A31,'Review &amp; Decision'!$L$7:$L$56,"&lt;&gt;")=1,IFERROR(INDEX('Review &amp; Decision'!$L$7:$L$56,MATCH($A31,'Review &amp; Decision'!$A$7:$A$56,0)),""),"")))&gt;0)),1,0)</f>
        <v>0</v>
      </c>
      <c r="I31" s="14">
        <f>IF(AND(AG31=1,IFERROR(INDEX(Actuals!$M$7:$M$56,MATCH($A31,Actuals!$A$7:$A$56,0)),"")="Ready",IFERROR(INDEX(Actuals!$D$7:$D$56,MATCH($A31,Actuals!$A$7:$A$56,0)),"")&gt;=IFERROR(INDEX('Review &amp; Decision'!$I$7:$I$56,MATCH($A31,'Review &amp; Decision'!$A$7:$A$56,0)),"")),1,0)</f>
        <v>0</v>
      </c>
      <c r="J31" s="14" t="str">
        <f t="shared" si="0"/>
        <v>Unused slot</v>
      </c>
      <c r="K31" s="14">
        <f t="shared" si="1"/>
        <v>0</v>
      </c>
      <c r="L31" s="14">
        <f t="shared" si="2"/>
        <v>0</v>
      </c>
      <c r="M31" s="14">
        <f>IF(OR(L31=1,AND(K31=1,Settings!$B$8="Approved + measured")),1,0)</f>
        <v>0</v>
      </c>
      <c r="N31" s="14" t="str">
        <f>IF(E31=1,IFERROR(INDEX(Current!$H$7:$H$56,MATCH($A31,Current!$A$7:$A$56,0)),""),"")</f>
        <v/>
      </c>
      <c r="O31" s="14" t="str">
        <f>IF(F31=1,IFERROR(INDEX(Proposed!$I$7:$I$56,MATCH($A31,Proposed!$A$7:$A$56,0)),""),"")</f>
        <v/>
      </c>
      <c r="P31" s="14" t="str">
        <f t="shared" si="3"/>
        <v/>
      </c>
      <c r="Q31" s="14" t="str">
        <f>IF(E31=1,IFERROR(INDEX(Current!$I$7:$I$56,MATCH($A31,Current!$A$7:$A$56,0)),""),"")</f>
        <v/>
      </c>
      <c r="R31" s="14" t="str">
        <f>IF(F31=1,IFERROR(INDEX(Proposed!$J$7:$J$56,MATCH($A31,Proposed!$A$7:$A$56,0)),""),"")</f>
        <v/>
      </c>
      <c r="S31" s="14" t="str">
        <f t="shared" si="4"/>
        <v/>
      </c>
      <c r="T31" s="14" t="str">
        <f>IF(E31=1,IFERROR(INDEX(Current!$E$7:$E$56,MATCH($A31,Current!$A$7:$A$56,0)),""),"")</f>
        <v/>
      </c>
      <c r="U31" s="14" t="str">
        <f>IF(F31=1,IFERROR(INDEX(Proposed!$E$7:$E$56,MATCH($A31,Proposed!$A$7:$A$56,0)),""),"")</f>
        <v/>
      </c>
      <c r="V31" s="14" t="str">
        <f t="shared" si="5"/>
        <v/>
      </c>
      <c r="W31" s="14" t="str">
        <f>IF(E31=1,IFERROR(INDEX(Current!$K$7:$K$56,MATCH($A31,Current!$A$7:$A$56,0)),""),"")</f>
        <v/>
      </c>
      <c r="X31" s="14" t="str">
        <f>IF(F31=1,IFERROR(INDEX(Proposed!$L$7:$L$56,MATCH($A31,Proposed!$A$7:$A$56,0)),""),"")</f>
        <v/>
      </c>
      <c r="Y31" s="14" t="str">
        <f t="shared" si="6"/>
        <v/>
      </c>
      <c r="Z31" s="14" t="str">
        <f>IF(F31=1,IFERROR(INDEX(Proposed!$F$7:$F$56,MATCH($A31,Proposed!$A$7:$A$56,0)),""),"")</f>
        <v/>
      </c>
      <c r="AA31" s="14">
        <f>IF(M31=1,IF(IF(L31=1,AL31,P31)&gt;0,IF(L31=1,AL31,P31)*IFERROR(INDEX('Review &amp; Decision'!$J$7:$J$56,MATCH($A31,'Review &amp; Decision'!$A$7:$A$56,0)),""),IF(L31=1,AL31,P31)),0)</f>
        <v>0</v>
      </c>
      <c r="AB31" s="14">
        <f>IF(M31=1,IF(IF(L31=1,AM31,S31)&gt;0,IF(L31=1,AM31,S31)*IFERROR(INDEX('Review &amp; Decision'!$K$7:$K$56,MATCH($A31,'Review &amp; Decision'!$A$7:$A$56,0)),""),IF(L31=1,AM31,S31)),0)</f>
        <v>0</v>
      </c>
      <c r="AC31" s="14">
        <f t="shared" si="7"/>
        <v>0</v>
      </c>
      <c r="AD31" s="14">
        <f t="shared" si="8"/>
        <v>0</v>
      </c>
      <c r="AE31" s="14">
        <f t="shared" si="9"/>
        <v>0</v>
      </c>
      <c r="AF31" s="14" t="str">
        <f t="shared" si="10"/>
        <v>No measurement warning</v>
      </c>
      <c r="AG31" s="14">
        <f>IF(AND(COUNTIF(Cases!$A$7:$A$56,$A31)=1,COUNTIF(Current!$A$7:$A$56,$A31)=1,COUNTIF(Proposed!$A$7:$A$56,$A31)=1,COUNTIF('Review &amp; Decision'!$A$7:$A$56,$A31)=1,COUNTIF('Challenge Review'!$A$7:$A$56,$A31)=1,COUNTIF(Actuals!$A$7:$A$56,$A31)=1,COUNTIF(Classification!$A$7:$A$56,$A31)=1),1,0)</f>
        <v>1</v>
      </c>
      <c r="AH31" s="14">
        <f t="shared" si="11"/>
        <v>0</v>
      </c>
      <c r="AI31" s="14" t="str">
        <f>IF(COUNTIFS('Review &amp; Decision'!$A$7:$A$56,$A31,'Review &amp; Decision'!$H$7:$H$56,"&lt;&gt;")=1,IFERROR(INDEX('Review &amp; Decision'!$H$7:$H$56,MATCH($A31,'Review &amp; Decision'!$A$7:$A$56,0)),""),"")</f>
        <v/>
      </c>
      <c r="AJ31" s="14" t="str">
        <f>IF(COUNTIFS('Review &amp; Decision'!$A$7:$A$56,$A31,'Review &amp; Decision'!$E$7:$E$56,"&lt;&gt;")=1,IFERROR(INDEX('Review &amp; Decision'!$E$7:$E$56,MATCH($A31,'Review &amp; Decision'!$A$7:$A$56,0)),""),"")</f>
        <v/>
      </c>
      <c r="AK31" s="14" t="str">
        <f>IF(COUNTIFS('Review &amp; Decision'!$A$7:$A$56,$A31,'Review &amp; Decision'!$B$7:$B$56,"&lt;&gt;")=1,IFERROR(INDEX('Review &amp; Decision'!$B$7:$B$56,MATCH($A31,'Review &amp; Decision'!$A$7:$A$56,0)),""),"")</f>
        <v/>
      </c>
      <c r="AL31" s="14" t="str">
        <f>IF(I31=1,IFERROR(INDEX(Actuals!$E$7:$E$56,MATCH($A31,Actuals!$A$7:$A$56,0)),""),"")</f>
        <v/>
      </c>
      <c r="AM31" s="14" t="str">
        <f>IF(I31=1,IFERROR(INDEX(Actuals!$F$7:$F$56,MATCH($A31,Actuals!$A$7:$A$56,0)),""),"")</f>
        <v/>
      </c>
      <c r="AN31" s="14" t="str">
        <f>IF(I31=1,IFERROR(INDEX(Actuals!$G$7:$G$56,MATCH($A31,Actuals!$A$7:$A$56,0)),""),"")</f>
        <v/>
      </c>
      <c r="AO31" s="14" t="str">
        <f>IF(I31=1,IFERROR(INDEX(Actuals!$G$7:$G$56,MATCH($A31,Actuals!$A$7:$A$56,0)),"")+IFERROR(INDEX(Actuals!$H$7:$H$56,MATCH($A31,Actuals!$A$7:$A$56,0)),""),"")</f>
        <v/>
      </c>
      <c r="AP31" s="14" t="str">
        <f>IF(COUNTIFS(Cases!$A$7:$A$56,$A31,Cases!$G$7:$G$56,"&lt;&gt;")=1,IFERROR(INDEX(Cases!$G$7:$G$56,MATCH($A31,Cases!$A$7:$A$56,0)),""),"")</f>
        <v/>
      </c>
    </row>
    <row r="32" spans="1:42" ht="43.9" customHeight="1">
      <c r="A32" s="14" t="s">
        <v>123</v>
      </c>
      <c r="B32" s="14" t="str">
        <f>IF(COUNTIFS(Cases!$A$7:$A$56,$A32,Cases!$B$7:$B$56,"&lt;&gt;")=1,IFERROR(INDEX(Cases!$B$7:$B$56,MATCH($A32,Cases!$A$7:$A$56,0)),""),"")</f>
        <v>Inactive</v>
      </c>
      <c r="C32" s="14" t="str">
        <f>IF(COUNTIFS(Cases!$A$7:$A$56,$A32,Cases!$C$7:$C$56,"&lt;&gt;")=1,IFERROR(INDEX(Cases!$C$7:$C$56,MATCH($A32,Cases!$A$7:$A$56,0)),""),"")</f>
        <v/>
      </c>
      <c r="D32" s="14">
        <f>IF(AND(AG32=1,OR(B32="Example",B32="Live"),OR(AP32="Simplify",AP32="Replace",AP32="Reduce scope",AP32="Retire",AP32="Retain"),COUNTIFS(Cases!$A$7:$A$56,$A32,Cases!$C$7:$C$56,"&lt;&gt;")=1,COUNTIFS(Cases!$A$7:$A$56,$A32,Cases!$D$7:$D$56,"&lt;&gt;")=1,COUNTIFS(Cases!$A$7:$A$56,$A32,Cases!$E$7:$E$56,"&lt;&gt;")=1,COUNTIFS(Cases!$A$7:$A$56,$A32,Cases!$F$7:$F$56,"&lt;&gt;")=1,COUNTIFS(Cases!$A$7:$A$56,$A32,Cases!$H$7:$H$56,"&lt;&gt;")=1,COUNTIFS(Cases!$A$7:$A$56,$A32,Cases!$I$7:$I$56,"&lt;&gt;")=1,LEN(TRIM(IF(COUNTIFS(Cases!$A$7:$A$56,$A32,Cases!$C$7:$C$56,"&lt;&gt;")=1,IFERROR(INDEX(Cases!$C$7:$C$56,MATCH($A32,Cases!$A$7:$A$56,0)),""),"")))&gt;0,LEN(TRIM(IF(COUNTIFS(Cases!$A$7:$A$56,$A32,Cases!$D$7:$D$56,"&lt;&gt;")=1,IFERROR(INDEX(Cases!$D$7:$D$56,MATCH($A32,Cases!$A$7:$A$56,0)),""),"")))&gt;0,LEN(TRIM(IF(COUNTIFS(Cases!$A$7:$A$56,$A32,Cases!$E$7:$E$56,"&lt;&gt;")=1,IFERROR(INDEX(Cases!$E$7:$E$56,MATCH($A32,Cases!$A$7:$A$56,0)),""),"")))&gt;0,LEN(TRIM(IF(COUNTIFS(Cases!$A$7:$A$56,$A32,Cases!$F$7:$F$56,"&lt;&gt;")=1,IFERROR(INDEX(Cases!$F$7:$F$56,MATCH($A32,Cases!$A$7:$A$56,0)),""),"")))&gt;0,LEN(TRIM(IF(COUNTIFS(Cases!$A$7:$A$56,$A32,Cases!$H$7:$H$56,"&lt;&gt;")=1,IFERROR(INDEX(Cases!$H$7:$H$56,MATCH($A32,Cases!$A$7:$A$56,0)),""),"")))&gt;0,LEN(TRIM(IF(COUNTIFS(Cases!$A$7:$A$56,$A32,Cases!$I$7:$I$56,"&lt;&gt;")=1,IFERROR(INDEX(Cases!$I$7:$I$56,MATCH($A32,Cases!$A$7:$A$56,0)),""),"")))&gt;0),1,0)</f>
        <v>0</v>
      </c>
      <c r="E32" s="14">
        <f>IF(AND(AG32=1,IFERROR(INDEX(Current!$G$7:$G$56,MATCH($A32,Current!$A$7:$A$56,0)),"")="Ready"),1,0)</f>
        <v>0</v>
      </c>
      <c r="F32" s="14">
        <f>IF(AND(AG32=1,IFERROR(INDEX(Proposed!$H$7:$H$56,MATCH($A32,Proposed!$A$7:$A$56,0)),"")="Ready",OR(AP32&lt;&gt;"Retain",AND(IFERROR(INDEX(Current!$B$7:$B$56,MATCH($A32,Current!$A$7:$A$56,0)),"")=IFERROR(INDEX(Proposed!$B$7:$B$56,MATCH($A32,Proposed!$A$7:$A$56,0)),""),IFERROR(INDEX(Current!$C$7:$C$56,MATCH($A32,Current!$A$7:$A$56,0)),"")=IFERROR(INDEX(Proposed!$C$7:$C$56,MATCH($A32,Proposed!$A$7:$A$56,0)),""),IFERROR(INDEX(Current!$D$7:$D$56,MATCH($A32,Current!$A$7:$A$56,0)),"")=IFERROR(INDEX(Proposed!$D$7:$D$56,MATCH($A32,Proposed!$A$7:$A$56,0)),""),IFERROR(INDEX(Current!$E$7:$E$56,MATCH($A32,Current!$A$7:$A$56,0)),"")=IFERROR(INDEX(Proposed!$E$7:$E$56,MATCH($A32,Proposed!$A$7:$A$56,0)),"")))),1,0)</f>
        <v>0</v>
      </c>
      <c r="G32" s="14" t="str">
        <f>IF(COUNTIFS('Challenge Review'!$A$7:$A$56,$A32,'Challenge Review'!$K$7:$K$56,"&lt;&gt;")=1,IFERROR(INDEX('Challenge Review'!$K$7:$K$56,MATCH($A32,'Challenge Review'!$A$7:$A$56,0)),""),"")</f>
        <v>Unchecked</v>
      </c>
      <c r="H32" s="14">
        <f>IF(AND(AG32=1,IFERROR(INDEX('Review &amp; Decision'!$B$7:$B$56,MATCH($A32,'Review &amp; Decision'!$A$7:$A$56,0)),"")="Evidence-backed",OR(IFERROR(INDEX('Review &amp; Decision'!$C$7:$C$56,MATCH($A32,'Review &amp; Decision'!$A$7:$A$56,0)),"")="Equivalent or better",AND(IFERROR(INDEX('Review &amp; Decision'!$C$7:$C$56,MATCH($A32,'Review &amp; Decision'!$A$7:$A$56,0)),"")="Accepted reduction",COUNTIFS('Review &amp; Decision'!$A$7:$A$56,$A32,'Review &amp; Decision'!$L$7:$L$56,"&lt;&gt;")=1)),COUNTIFS('Review &amp; Decision'!$A$7:$A$56,$A32,'Review &amp; Decision'!$D$7:$D$56,"&lt;&gt;")=1,COUNTIFS('Review &amp; Decision'!$A$7:$A$56,$A32,'Review &amp; Decision'!$F$7:$F$56,"&lt;&gt;")=1,OR(IFERROR(INDEX('Review &amp; Decision'!$E$7:$E$56,MATCH($A32,'Review &amp; Decision'!$A$7:$A$56,0)),"")="Approved",IFERROR(INDEX('Review &amp; Decision'!$E$7:$E$56,MATCH($A32,'Review &amp; Decision'!$A$7:$A$56,0)),"")="Implemented"),ISNUMBER(IFERROR(INDEX('Review &amp; Decision'!$G$7:$G$56,MATCH($A32,'Review &amp; Decision'!$A$7:$A$56,0)),"")),IFERROR(INDEX('Review &amp; Decision'!$G$7:$G$56,MATCH($A32,'Review &amp; Decision'!$A$7:$A$56,0)),"")&gt;0,IFERROR(INDEX('Review &amp; Decision'!$G$7:$G$56,MATCH($A32,'Review &amp; Decision'!$A$7:$A$56,0)),"")&lt;=Settings!$B$7,ISNUMBER(IFERROR(INDEX('Review &amp; Decision'!$I$7:$I$56,MATCH($A32,'Review &amp; Decision'!$A$7:$A$56,0)),"")),IFERROR(INDEX('Review &amp; Decision'!$I$7:$I$56,MATCH($A32,'Review &amp; Decision'!$A$7:$A$56,0)),"")&gt;0,IFERROR(INDEX('Review &amp; Decision'!$I$7:$I$56,MATCH($A32,'Review &amp; Decision'!$A$7:$A$56,0)),"")&lt;=Settings!$B$7,IFERROR(INDEX('Review &amp; Decision'!$I$7:$I$56,MATCH($A32,'Review &amp; Decision'!$A$7:$A$56,0)),"")&gt;=IFERROR(INDEX('Review &amp; Decision'!$G$7:$G$56,MATCH($A32,'Review &amp; Decision'!$A$7:$A$56,0)),""),COUNTIFS('Review &amp; Decision'!$A$7:$A$56,$A32,'Review &amp; Decision'!$J$7:$J$56,"&lt;&gt;")=1,COUNTIFS('Review &amp; Decision'!$A$7:$A$56,$A32,'Review &amp; Decision'!$K$7:$K$56,"&lt;&gt;")=1,ISNUMBER(IFERROR(INDEX('Review &amp; Decision'!$J$7:$J$56,MATCH($A32,'Review &amp; Decision'!$A$7:$A$56,0)),"")),IFERROR(INDEX('Review &amp; Decision'!$J$7:$J$56,MATCH($A32,'Review &amp; Decision'!$A$7:$A$56,0)),"")&gt;=0,IFERROR(INDEX('Review &amp; Decision'!$J$7:$J$56,MATCH($A32,'Review &amp; Decision'!$A$7:$A$56,0)),"")&lt;=1,ISNUMBER(IFERROR(INDEX('Review &amp; Decision'!$K$7:$K$56,MATCH($A32,'Review &amp; Decision'!$A$7:$A$56,0)),"")),IFERROR(INDEX('Review &amp; Decision'!$K$7:$K$56,MATCH($A32,'Review &amp; Decision'!$A$7:$A$56,0)),"")&gt;=0,IFERROR(INDEX('Review &amp; Decision'!$K$7:$K$56,MATCH($A32,'Review &amp; Decision'!$A$7:$A$56,0)),"")&lt;=1,ISNUMBER(Settings!$B$7),Settings!$B$7&gt;0,OR(Settings!$B$8="Approved + measured",Settings!$B$8="Measured only"),LEN(TRIM(IF(COUNTIFS('Review &amp; Decision'!$A$7:$A$56,$A32,'Review &amp; Decision'!$D$7:$D$56,"&lt;&gt;")=1,IFERROR(INDEX('Review &amp; Decision'!$D$7:$D$56,MATCH($A32,'Review &amp; Decision'!$A$7:$A$56,0)),""),"")))&gt;0,LEN(TRIM(IF(COUNTIFS('Review &amp; Decision'!$A$7:$A$56,$A32,'Review &amp; Decision'!$F$7:$F$56,"&lt;&gt;")=1,IFERROR(INDEX('Review &amp; Decision'!$F$7:$F$56,MATCH($A32,'Review &amp; Decision'!$A$7:$A$56,0)),""),"")))&gt;0,OR(IFERROR(INDEX('Review &amp; Decision'!$C$7:$C$56,MATCH($A32,'Review &amp; Decision'!$A$7:$A$56,0)),"")&lt;&gt;"Accepted reduction",LEN(TRIM(IF(COUNTIFS('Review &amp; Decision'!$A$7:$A$56,$A32,'Review &amp; Decision'!$L$7:$L$56,"&lt;&gt;")=1,IFERROR(INDEX('Review &amp; Decision'!$L$7:$L$56,MATCH($A32,'Review &amp; Decision'!$A$7:$A$56,0)),""),"")))&gt;0)),1,0)</f>
        <v>0</v>
      </c>
      <c r="I32" s="14">
        <f>IF(AND(AG32=1,IFERROR(INDEX(Actuals!$M$7:$M$56,MATCH($A32,Actuals!$A$7:$A$56,0)),"")="Ready",IFERROR(INDEX(Actuals!$D$7:$D$56,MATCH($A32,Actuals!$A$7:$A$56,0)),"")&gt;=IFERROR(INDEX('Review &amp; Decision'!$I$7:$I$56,MATCH($A32,'Review &amp; Decision'!$A$7:$A$56,0)),"")),1,0)</f>
        <v>0</v>
      </c>
      <c r="J32" s="14" t="str">
        <f t="shared" si="0"/>
        <v>Unused slot</v>
      </c>
      <c r="K32" s="14">
        <f t="shared" si="1"/>
        <v>0</v>
      </c>
      <c r="L32" s="14">
        <f t="shared" si="2"/>
        <v>0</v>
      </c>
      <c r="M32" s="14">
        <f>IF(OR(L32=1,AND(K32=1,Settings!$B$8="Approved + measured")),1,0)</f>
        <v>0</v>
      </c>
      <c r="N32" s="14" t="str">
        <f>IF(E32=1,IFERROR(INDEX(Current!$H$7:$H$56,MATCH($A32,Current!$A$7:$A$56,0)),""),"")</f>
        <v/>
      </c>
      <c r="O32" s="14" t="str">
        <f>IF(F32=1,IFERROR(INDEX(Proposed!$I$7:$I$56,MATCH($A32,Proposed!$A$7:$A$56,0)),""),"")</f>
        <v/>
      </c>
      <c r="P32" s="14" t="str">
        <f t="shared" si="3"/>
        <v/>
      </c>
      <c r="Q32" s="14" t="str">
        <f>IF(E32=1,IFERROR(INDEX(Current!$I$7:$I$56,MATCH($A32,Current!$A$7:$A$56,0)),""),"")</f>
        <v/>
      </c>
      <c r="R32" s="14" t="str">
        <f>IF(F32=1,IFERROR(INDEX(Proposed!$J$7:$J$56,MATCH($A32,Proposed!$A$7:$A$56,0)),""),"")</f>
        <v/>
      </c>
      <c r="S32" s="14" t="str">
        <f t="shared" si="4"/>
        <v/>
      </c>
      <c r="T32" s="14" t="str">
        <f>IF(E32=1,IFERROR(INDEX(Current!$E$7:$E$56,MATCH($A32,Current!$A$7:$A$56,0)),""),"")</f>
        <v/>
      </c>
      <c r="U32" s="14" t="str">
        <f>IF(F32=1,IFERROR(INDEX(Proposed!$E$7:$E$56,MATCH($A32,Proposed!$A$7:$A$56,0)),""),"")</f>
        <v/>
      </c>
      <c r="V32" s="14" t="str">
        <f t="shared" si="5"/>
        <v/>
      </c>
      <c r="W32" s="14" t="str">
        <f>IF(E32=1,IFERROR(INDEX(Current!$K$7:$K$56,MATCH($A32,Current!$A$7:$A$56,0)),""),"")</f>
        <v/>
      </c>
      <c r="X32" s="14" t="str">
        <f>IF(F32=1,IFERROR(INDEX(Proposed!$L$7:$L$56,MATCH($A32,Proposed!$A$7:$A$56,0)),""),"")</f>
        <v/>
      </c>
      <c r="Y32" s="14" t="str">
        <f t="shared" si="6"/>
        <v/>
      </c>
      <c r="Z32" s="14" t="str">
        <f>IF(F32=1,IFERROR(INDEX(Proposed!$F$7:$F$56,MATCH($A32,Proposed!$A$7:$A$56,0)),""),"")</f>
        <v/>
      </c>
      <c r="AA32" s="14">
        <f>IF(M32=1,IF(IF(L32=1,AL32,P32)&gt;0,IF(L32=1,AL32,P32)*IFERROR(INDEX('Review &amp; Decision'!$J$7:$J$56,MATCH($A32,'Review &amp; Decision'!$A$7:$A$56,0)),""),IF(L32=1,AL32,P32)),0)</f>
        <v>0</v>
      </c>
      <c r="AB32" s="14">
        <f>IF(M32=1,IF(IF(L32=1,AM32,S32)&gt;0,IF(L32=1,AM32,S32)*IFERROR(INDEX('Review &amp; Decision'!$K$7:$K$56,MATCH($A32,'Review &amp; Decision'!$A$7:$A$56,0)),""),IF(L32=1,AM32,S32)),0)</f>
        <v>0</v>
      </c>
      <c r="AC32" s="14">
        <f t="shared" si="7"/>
        <v>0</v>
      </c>
      <c r="AD32" s="14">
        <f t="shared" si="8"/>
        <v>0</v>
      </c>
      <c r="AE32" s="14">
        <f t="shared" si="9"/>
        <v>0</v>
      </c>
      <c r="AF32" s="14" t="str">
        <f t="shared" si="10"/>
        <v>No measurement warning</v>
      </c>
      <c r="AG32" s="14">
        <f>IF(AND(COUNTIF(Cases!$A$7:$A$56,$A32)=1,COUNTIF(Current!$A$7:$A$56,$A32)=1,COUNTIF(Proposed!$A$7:$A$56,$A32)=1,COUNTIF('Review &amp; Decision'!$A$7:$A$56,$A32)=1,COUNTIF('Challenge Review'!$A$7:$A$56,$A32)=1,COUNTIF(Actuals!$A$7:$A$56,$A32)=1,COUNTIF(Classification!$A$7:$A$56,$A32)=1),1,0)</f>
        <v>1</v>
      </c>
      <c r="AH32" s="14">
        <f t="shared" si="11"/>
        <v>0</v>
      </c>
      <c r="AI32" s="14" t="str">
        <f>IF(COUNTIFS('Review &amp; Decision'!$A$7:$A$56,$A32,'Review &amp; Decision'!$H$7:$H$56,"&lt;&gt;")=1,IFERROR(INDEX('Review &amp; Decision'!$H$7:$H$56,MATCH($A32,'Review &amp; Decision'!$A$7:$A$56,0)),""),"")</f>
        <v/>
      </c>
      <c r="AJ32" s="14" t="str">
        <f>IF(COUNTIFS('Review &amp; Decision'!$A$7:$A$56,$A32,'Review &amp; Decision'!$E$7:$E$56,"&lt;&gt;")=1,IFERROR(INDEX('Review &amp; Decision'!$E$7:$E$56,MATCH($A32,'Review &amp; Decision'!$A$7:$A$56,0)),""),"")</f>
        <v/>
      </c>
      <c r="AK32" s="14" t="str">
        <f>IF(COUNTIFS('Review &amp; Decision'!$A$7:$A$56,$A32,'Review &amp; Decision'!$B$7:$B$56,"&lt;&gt;")=1,IFERROR(INDEX('Review &amp; Decision'!$B$7:$B$56,MATCH($A32,'Review &amp; Decision'!$A$7:$A$56,0)),""),"")</f>
        <v/>
      </c>
      <c r="AL32" s="14" t="str">
        <f>IF(I32=1,IFERROR(INDEX(Actuals!$E$7:$E$56,MATCH($A32,Actuals!$A$7:$A$56,0)),""),"")</f>
        <v/>
      </c>
      <c r="AM32" s="14" t="str">
        <f>IF(I32=1,IFERROR(INDEX(Actuals!$F$7:$F$56,MATCH($A32,Actuals!$A$7:$A$56,0)),""),"")</f>
        <v/>
      </c>
      <c r="AN32" s="14" t="str">
        <f>IF(I32=1,IFERROR(INDEX(Actuals!$G$7:$G$56,MATCH($A32,Actuals!$A$7:$A$56,0)),""),"")</f>
        <v/>
      </c>
      <c r="AO32" s="14" t="str">
        <f>IF(I32=1,IFERROR(INDEX(Actuals!$G$7:$G$56,MATCH($A32,Actuals!$A$7:$A$56,0)),"")+IFERROR(INDEX(Actuals!$H$7:$H$56,MATCH($A32,Actuals!$A$7:$A$56,0)),""),"")</f>
        <v/>
      </c>
      <c r="AP32" s="14" t="str">
        <f>IF(COUNTIFS(Cases!$A$7:$A$56,$A32,Cases!$G$7:$G$56,"&lt;&gt;")=1,IFERROR(INDEX(Cases!$G$7:$G$56,MATCH($A32,Cases!$A$7:$A$56,0)),""),"")</f>
        <v/>
      </c>
    </row>
    <row r="33" spans="1:42" ht="43.9" customHeight="1">
      <c r="A33" s="14" t="s">
        <v>124</v>
      </c>
      <c r="B33" s="14" t="str">
        <f>IF(COUNTIFS(Cases!$A$7:$A$56,$A33,Cases!$B$7:$B$56,"&lt;&gt;")=1,IFERROR(INDEX(Cases!$B$7:$B$56,MATCH($A33,Cases!$A$7:$A$56,0)),""),"")</f>
        <v>Inactive</v>
      </c>
      <c r="C33" s="14" t="str">
        <f>IF(COUNTIFS(Cases!$A$7:$A$56,$A33,Cases!$C$7:$C$56,"&lt;&gt;")=1,IFERROR(INDEX(Cases!$C$7:$C$56,MATCH($A33,Cases!$A$7:$A$56,0)),""),"")</f>
        <v/>
      </c>
      <c r="D33" s="14">
        <f>IF(AND(AG33=1,OR(B33="Example",B33="Live"),OR(AP33="Simplify",AP33="Replace",AP33="Reduce scope",AP33="Retire",AP33="Retain"),COUNTIFS(Cases!$A$7:$A$56,$A33,Cases!$C$7:$C$56,"&lt;&gt;")=1,COUNTIFS(Cases!$A$7:$A$56,$A33,Cases!$D$7:$D$56,"&lt;&gt;")=1,COUNTIFS(Cases!$A$7:$A$56,$A33,Cases!$E$7:$E$56,"&lt;&gt;")=1,COUNTIFS(Cases!$A$7:$A$56,$A33,Cases!$F$7:$F$56,"&lt;&gt;")=1,COUNTIFS(Cases!$A$7:$A$56,$A33,Cases!$H$7:$H$56,"&lt;&gt;")=1,COUNTIFS(Cases!$A$7:$A$56,$A33,Cases!$I$7:$I$56,"&lt;&gt;")=1,LEN(TRIM(IF(COUNTIFS(Cases!$A$7:$A$56,$A33,Cases!$C$7:$C$56,"&lt;&gt;")=1,IFERROR(INDEX(Cases!$C$7:$C$56,MATCH($A33,Cases!$A$7:$A$56,0)),""),"")))&gt;0,LEN(TRIM(IF(COUNTIFS(Cases!$A$7:$A$56,$A33,Cases!$D$7:$D$56,"&lt;&gt;")=1,IFERROR(INDEX(Cases!$D$7:$D$56,MATCH($A33,Cases!$A$7:$A$56,0)),""),"")))&gt;0,LEN(TRIM(IF(COUNTIFS(Cases!$A$7:$A$56,$A33,Cases!$E$7:$E$56,"&lt;&gt;")=1,IFERROR(INDEX(Cases!$E$7:$E$56,MATCH($A33,Cases!$A$7:$A$56,0)),""),"")))&gt;0,LEN(TRIM(IF(COUNTIFS(Cases!$A$7:$A$56,$A33,Cases!$F$7:$F$56,"&lt;&gt;")=1,IFERROR(INDEX(Cases!$F$7:$F$56,MATCH($A33,Cases!$A$7:$A$56,0)),""),"")))&gt;0,LEN(TRIM(IF(COUNTIFS(Cases!$A$7:$A$56,$A33,Cases!$H$7:$H$56,"&lt;&gt;")=1,IFERROR(INDEX(Cases!$H$7:$H$56,MATCH($A33,Cases!$A$7:$A$56,0)),""),"")))&gt;0,LEN(TRIM(IF(COUNTIFS(Cases!$A$7:$A$56,$A33,Cases!$I$7:$I$56,"&lt;&gt;")=1,IFERROR(INDEX(Cases!$I$7:$I$56,MATCH($A33,Cases!$A$7:$A$56,0)),""),"")))&gt;0),1,0)</f>
        <v>0</v>
      </c>
      <c r="E33" s="14">
        <f>IF(AND(AG33=1,IFERROR(INDEX(Current!$G$7:$G$56,MATCH($A33,Current!$A$7:$A$56,0)),"")="Ready"),1,0)</f>
        <v>0</v>
      </c>
      <c r="F33" s="14">
        <f>IF(AND(AG33=1,IFERROR(INDEX(Proposed!$H$7:$H$56,MATCH($A33,Proposed!$A$7:$A$56,0)),"")="Ready",OR(AP33&lt;&gt;"Retain",AND(IFERROR(INDEX(Current!$B$7:$B$56,MATCH($A33,Current!$A$7:$A$56,0)),"")=IFERROR(INDEX(Proposed!$B$7:$B$56,MATCH($A33,Proposed!$A$7:$A$56,0)),""),IFERROR(INDEX(Current!$C$7:$C$56,MATCH($A33,Current!$A$7:$A$56,0)),"")=IFERROR(INDEX(Proposed!$C$7:$C$56,MATCH($A33,Proposed!$A$7:$A$56,0)),""),IFERROR(INDEX(Current!$D$7:$D$56,MATCH($A33,Current!$A$7:$A$56,0)),"")=IFERROR(INDEX(Proposed!$D$7:$D$56,MATCH($A33,Proposed!$A$7:$A$56,0)),""),IFERROR(INDEX(Current!$E$7:$E$56,MATCH($A33,Current!$A$7:$A$56,0)),"")=IFERROR(INDEX(Proposed!$E$7:$E$56,MATCH($A33,Proposed!$A$7:$A$56,0)),"")))),1,0)</f>
        <v>0</v>
      </c>
      <c r="G33" s="14" t="str">
        <f>IF(COUNTIFS('Challenge Review'!$A$7:$A$56,$A33,'Challenge Review'!$K$7:$K$56,"&lt;&gt;")=1,IFERROR(INDEX('Challenge Review'!$K$7:$K$56,MATCH($A33,'Challenge Review'!$A$7:$A$56,0)),""),"")</f>
        <v>Unchecked</v>
      </c>
      <c r="H33" s="14">
        <f>IF(AND(AG33=1,IFERROR(INDEX('Review &amp; Decision'!$B$7:$B$56,MATCH($A33,'Review &amp; Decision'!$A$7:$A$56,0)),"")="Evidence-backed",OR(IFERROR(INDEX('Review &amp; Decision'!$C$7:$C$56,MATCH($A33,'Review &amp; Decision'!$A$7:$A$56,0)),"")="Equivalent or better",AND(IFERROR(INDEX('Review &amp; Decision'!$C$7:$C$56,MATCH($A33,'Review &amp; Decision'!$A$7:$A$56,0)),"")="Accepted reduction",COUNTIFS('Review &amp; Decision'!$A$7:$A$56,$A33,'Review &amp; Decision'!$L$7:$L$56,"&lt;&gt;")=1)),COUNTIFS('Review &amp; Decision'!$A$7:$A$56,$A33,'Review &amp; Decision'!$D$7:$D$56,"&lt;&gt;")=1,COUNTIFS('Review &amp; Decision'!$A$7:$A$56,$A33,'Review &amp; Decision'!$F$7:$F$56,"&lt;&gt;")=1,OR(IFERROR(INDEX('Review &amp; Decision'!$E$7:$E$56,MATCH($A33,'Review &amp; Decision'!$A$7:$A$56,0)),"")="Approved",IFERROR(INDEX('Review &amp; Decision'!$E$7:$E$56,MATCH($A33,'Review &amp; Decision'!$A$7:$A$56,0)),"")="Implemented"),ISNUMBER(IFERROR(INDEX('Review &amp; Decision'!$G$7:$G$56,MATCH($A33,'Review &amp; Decision'!$A$7:$A$56,0)),"")),IFERROR(INDEX('Review &amp; Decision'!$G$7:$G$56,MATCH($A33,'Review &amp; Decision'!$A$7:$A$56,0)),"")&gt;0,IFERROR(INDEX('Review &amp; Decision'!$G$7:$G$56,MATCH($A33,'Review &amp; Decision'!$A$7:$A$56,0)),"")&lt;=Settings!$B$7,ISNUMBER(IFERROR(INDEX('Review &amp; Decision'!$I$7:$I$56,MATCH($A33,'Review &amp; Decision'!$A$7:$A$56,0)),"")),IFERROR(INDEX('Review &amp; Decision'!$I$7:$I$56,MATCH($A33,'Review &amp; Decision'!$A$7:$A$56,0)),"")&gt;0,IFERROR(INDEX('Review &amp; Decision'!$I$7:$I$56,MATCH($A33,'Review &amp; Decision'!$A$7:$A$56,0)),"")&lt;=Settings!$B$7,IFERROR(INDEX('Review &amp; Decision'!$I$7:$I$56,MATCH($A33,'Review &amp; Decision'!$A$7:$A$56,0)),"")&gt;=IFERROR(INDEX('Review &amp; Decision'!$G$7:$G$56,MATCH($A33,'Review &amp; Decision'!$A$7:$A$56,0)),""),COUNTIFS('Review &amp; Decision'!$A$7:$A$56,$A33,'Review &amp; Decision'!$J$7:$J$56,"&lt;&gt;")=1,COUNTIFS('Review &amp; Decision'!$A$7:$A$56,$A33,'Review &amp; Decision'!$K$7:$K$56,"&lt;&gt;")=1,ISNUMBER(IFERROR(INDEX('Review &amp; Decision'!$J$7:$J$56,MATCH($A33,'Review &amp; Decision'!$A$7:$A$56,0)),"")),IFERROR(INDEX('Review &amp; Decision'!$J$7:$J$56,MATCH($A33,'Review &amp; Decision'!$A$7:$A$56,0)),"")&gt;=0,IFERROR(INDEX('Review &amp; Decision'!$J$7:$J$56,MATCH($A33,'Review &amp; Decision'!$A$7:$A$56,0)),"")&lt;=1,ISNUMBER(IFERROR(INDEX('Review &amp; Decision'!$K$7:$K$56,MATCH($A33,'Review &amp; Decision'!$A$7:$A$56,0)),"")),IFERROR(INDEX('Review &amp; Decision'!$K$7:$K$56,MATCH($A33,'Review &amp; Decision'!$A$7:$A$56,0)),"")&gt;=0,IFERROR(INDEX('Review &amp; Decision'!$K$7:$K$56,MATCH($A33,'Review &amp; Decision'!$A$7:$A$56,0)),"")&lt;=1,ISNUMBER(Settings!$B$7),Settings!$B$7&gt;0,OR(Settings!$B$8="Approved + measured",Settings!$B$8="Measured only"),LEN(TRIM(IF(COUNTIFS('Review &amp; Decision'!$A$7:$A$56,$A33,'Review &amp; Decision'!$D$7:$D$56,"&lt;&gt;")=1,IFERROR(INDEX('Review &amp; Decision'!$D$7:$D$56,MATCH($A33,'Review &amp; Decision'!$A$7:$A$56,0)),""),"")))&gt;0,LEN(TRIM(IF(COUNTIFS('Review &amp; Decision'!$A$7:$A$56,$A33,'Review &amp; Decision'!$F$7:$F$56,"&lt;&gt;")=1,IFERROR(INDEX('Review &amp; Decision'!$F$7:$F$56,MATCH($A33,'Review &amp; Decision'!$A$7:$A$56,0)),""),"")))&gt;0,OR(IFERROR(INDEX('Review &amp; Decision'!$C$7:$C$56,MATCH($A33,'Review &amp; Decision'!$A$7:$A$56,0)),"")&lt;&gt;"Accepted reduction",LEN(TRIM(IF(COUNTIFS('Review &amp; Decision'!$A$7:$A$56,$A33,'Review &amp; Decision'!$L$7:$L$56,"&lt;&gt;")=1,IFERROR(INDEX('Review &amp; Decision'!$L$7:$L$56,MATCH($A33,'Review &amp; Decision'!$A$7:$A$56,0)),""),"")))&gt;0)),1,0)</f>
        <v>0</v>
      </c>
      <c r="I33" s="14">
        <f>IF(AND(AG33=1,IFERROR(INDEX(Actuals!$M$7:$M$56,MATCH($A33,Actuals!$A$7:$A$56,0)),"")="Ready",IFERROR(INDEX(Actuals!$D$7:$D$56,MATCH($A33,Actuals!$A$7:$A$56,0)),"")&gt;=IFERROR(INDEX('Review &amp; Decision'!$I$7:$I$56,MATCH($A33,'Review &amp; Decision'!$A$7:$A$56,0)),"")),1,0)</f>
        <v>0</v>
      </c>
      <c r="J33" s="14" t="str">
        <f t="shared" si="0"/>
        <v>Unused slot</v>
      </c>
      <c r="K33" s="14">
        <f t="shared" si="1"/>
        <v>0</v>
      </c>
      <c r="L33" s="14">
        <f t="shared" si="2"/>
        <v>0</v>
      </c>
      <c r="M33" s="14">
        <f>IF(OR(L33=1,AND(K33=1,Settings!$B$8="Approved + measured")),1,0)</f>
        <v>0</v>
      </c>
      <c r="N33" s="14" t="str">
        <f>IF(E33=1,IFERROR(INDEX(Current!$H$7:$H$56,MATCH($A33,Current!$A$7:$A$56,0)),""),"")</f>
        <v/>
      </c>
      <c r="O33" s="14" t="str">
        <f>IF(F33=1,IFERROR(INDEX(Proposed!$I$7:$I$56,MATCH($A33,Proposed!$A$7:$A$56,0)),""),"")</f>
        <v/>
      </c>
      <c r="P33" s="14" t="str">
        <f t="shared" si="3"/>
        <v/>
      </c>
      <c r="Q33" s="14" t="str">
        <f>IF(E33=1,IFERROR(INDEX(Current!$I$7:$I$56,MATCH($A33,Current!$A$7:$A$56,0)),""),"")</f>
        <v/>
      </c>
      <c r="R33" s="14" t="str">
        <f>IF(F33=1,IFERROR(INDEX(Proposed!$J$7:$J$56,MATCH($A33,Proposed!$A$7:$A$56,0)),""),"")</f>
        <v/>
      </c>
      <c r="S33" s="14" t="str">
        <f t="shared" si="4"/>
        <v/>
      </c>
      <c r="T33" s="14" t="str">
        <f>IF(E33=1,IFERROR(INDEX(Current!$E$7:$E$56,MATCH($A33,Current!$A$7:$A$56,0)),""),"")</f>
        <v/>
      </c>
      <c r="U33" s="14" t="str">
        <f>IF(F33=1,IFERROR(INDEX(Proposed!$E$7:$E$56,MATCH($A33,Proposed!$A$7:$A$56,0)),""),"")</f>
        <v/>
      </c>
      <c r="V33" s="14" t="str">
        <f t="shared" si="5"/>
        <v/>
      </c>
      <c r="W33" s="14" t="str">
        <f>IF(E33=1,IFERROR(INDEX(Current!$K$7:$K$56,MATCH($A33,Current!$A$7:$A$56,0)),""),"")</f>
        <v/>
      </c>
      <c r="X33" s="14" t="str">
        <f>IF(F33=1,IFERROR(INDEX(Proposed!$L$7:$L$56,MATCH($A33,Proposed!$A$7:$A$56,0)),""),"")</f>
        <v/>
      </c>
      <c r="Y33" s="14" t="str">
        <f t="shared" si="6"/>
        <v/>
      </c>
      <c r="Z33" s="14" t="str">
        <f>IF(F33=1,IFERROR(INDEX(Proposed!$F$7:$F$56,MATCH($A33,Proposed!$A$7:$A$56,0)),""),"")</f>
        <v/>
      </c>
      <c r="AA33" s="14">
        <f>IF(M33=1,IF(IF(L33=1,AL33,P33)&gt;0,IF(L33=1,AL33,P33)*IFERROR(INDEX('Review &amp; Decision'!$J$7:$J$56,MATCH($A33,'Review &amp; Decision'!$A$7:$A$56,0)),""),IF(L33=1,AL33,P33)),0)</f>
        <v>0</v>
      </c>
      <c r="AB33" s="14">
        <f>IF(M33=1,IF(IF(L33=1,AM33,S33)&gt;0,IF(L33=1,AM33,S33)*IFERROR(INDEX('Review &amp; Decision'!$K$7:$K$56,MATCH($A33,'Review &amp; Decision'!$A$7:$A$56,0)),""),IF(L33=1,AM33,S33)),0)</f>
        <v>0</v>
      </c>
      <c r="AC33" s="14">
        <f t="shared" si="7"/>
        <v>0</v>
      </c>
      <c r="AD33" s="14">
        <f t="shared" si="8"/>
        <v>0</v>
      </c>
      <c r="AE33" s="14">
        <f t="shared" si="9"/>
        <v>0</v>
      </c>
      <c r="AF33" s="14" t="str">
        <f t="shared" si="10"/>
        <v>No measurement warning</v>
      </c>
      <c r="AG33" s="14">
        <f>IF(AND(COUNTIF(Cases!$A$7:$A$56,$A33)=1,COUNTIF(Current!$A$7:$A$56,$A33)=1,COUNTIF(Proposed!$A$7:$A$56,$A33)=1,COUNTIF('Review &amp; Decision'!$A$7:$A$56,$A33)=1,COUNTIF('Challenge Review'!$A$7:$A$56,$A33)=1,COUNTIF(Actuals!$A$7:$A$56,$A33)=1,COUNTIF(Classification!$A$7:$A$56,$A33)=1),1,0)</f>
        <v>1</v>
      </c>
      <c r="AH33" s="14">
        <f t="shared" si="11"/>
        <v>0</v>
      </c>
      <c r="AI33" s="14" t="str">
        <f>IF(COUNTIFS('Review &amp; Decision'!$A$7:$A$56,$A33,'Review &amp; Decision'!$H$7:$H$56,"&lt;&gt;")=1,IFERROR(INDEX('Review &amp; Decision'!$H$7:$H$56,MATCH($A33,'Review &amp; Decision'!$A$7:$A$56,0)),""),"")</f>
        <v/>
      </c>
      <c r="AJ33" s="14" t="str">
        <f>IF(COUNTIFS('Review &amp; Decision'!$A$7:$A$56,$A33,'Review &amp; Decision'!$E$7:$E$56,"&lt;&gt;")=1,IFERROR(INDEX('Review &amp; Decision'!$E$7:$E$56,MATCH($A33,'Review &amp; Decision'!$A$7:$A$56,0)),""),"")</f>
        <v/>
      </c>
      <c r="AK33" s="14" t="str">
        <f>IF(COUNTIFS('Review &amp; Decision'!$A$7:$A$56,$A33,'Review &amp; Decision'!$B$7:$B$56,"&lt;&gt;")=1,IFERROR(INDEX('Review &amp; Decision'!$B$7:$B$56,MATCH($A33,'Review &amp; Decision'!$A$7:$A$56,0)),""),"")</f>
        <v/>
      </c>
      <c r="AL33" s="14" t="str">
        <f>IF(I33=1,IFERROR(INDEX(Actuals!$E$7:$E$56,MATCH($A33,Actuals!$A$7:$A$56,0)),""),"")</f>
        <v/>
      </c>
      <c r="AM33" s="14" t="str">
        <f>IF(I33=1,IFERROR(INDEX(Actuals!$F$7:$F$56,MATCH($A33,Actuals!$A$7:$A$56,0)),""),"")</f>
        <v/>
      </c>
      <c r="AN33" s="14" t="str">
        <f>IF(I33=1,IFERROR(INDEX(Actuals!$G$7:$G$56,MATCH($A33,Actuals!$A$7:$A$56,0)),""),"")</f>
        <v/>
      </c>
      <c r="AO33" s="14" t="str">
        <f>IF(I33=1,IFERROR(INDEX(Actuals!$G$7:$G$56,MATCH($A33,Actuals!$A$7:$A$56,0)),"")+IFERROR(INDEX(Actuals!$H$7:$H$56,MATCH($A33,Actuals!$A$7:$A$56,0)),""),"")</f>
        <v/>
      </c>
      <c r="AP33" s="14" t="str">
        <f>IF(COUNTIFS(Cases!$A$7:$A$56,$A33,Cases!$G$7:$G$56,"&lt;&gt;")=1,IFERROR(INDEX(Cases!$G$7:$G$56,MATCH($A33,Cases!$A$7:$A$56,0)),""),"")</f>
        <v/>
      </c>
    </row>
    <row r="34" spans="1:42" ht="43.9" customHeight="1">
      <c r="A34" s="14" t="s">
        <v>125</v>
      </c>
      <c r="B34" s="14" t="str">
        <f>IF(COUNTIFS(Cases!$A$7:$A$56,$A34,Cases!$B$7:$B$56,"&lt;&gt;")=1,IFERROR(INDEX(Cases!$B$7:$B$56,MATCH($A34,Cases!$A$7:$A$56,0)),""),"")</f>
        <v>Inactive</v>
      </c>
      <c r="C34" s="14" t="str">
        <f>IF(COUNTIFS(Cases!$A$7:$A$56,$A34,Cases!$C$7:$C$56,"&lt;&gt;")=1,IFERROR(INDEX(Cases!$C$7:$C$56,MATCH($A34,Cases!$A$7:$A$56,0)),""),"")</f>
        <v/>
      </c>
      <c r="D34" s="14">
        <f>IF(AND(AG34=1,OR(B34="Example",B34="Live"),OR(AP34="Simplify",AP34="Replace",AP34="Reduce scope",AP34="Retire",AP34="Retain"),COUNTIFS(Cases!$A$7:$A$56,$A34,Cases!$C$7:$C$56,"&lt;&gt;")=1,COUNTIFS(Cases!$A$7:$A$56,$A34,Cases!$D$7:$D$56,"&lt;&gt;")=1,COUNTIFS(Cases!$A$7:$A$56,$A34,Cases!$E$7:$E$56,"&lt;&gt;")=1,COUNTIFS(Cases!$A$7:$A$56,$A34,Cases!$F$7:$F$56,"&lt;&gt;")=1,COUNTIFS(Cases!$A$7:$A$56,$A34,Cases!$H$7:$H$56,"&lt;&gt;")=1,COUNTIFS(Cases!$A$7:$A$56,$A34,Cases!$I$7:$I$56,"&lt;&gt;")=1,LEN(TRIM(IF(COUNTIFS(Cases!$A$7:$A$56,$A34,Cases!$C$7:$C$56,"&lt;&gt;")=1,IFERROR(INDEX(Cases!$C$7:$C$56,MATCH($A34,Cases!$A$7:$A$56,0)),""),"")))&gt;0,LEN(TRIM(IF(COUNTIFS(Cases!$A$7:$A$56,$A34,Cases!$D$7:$D$56,"&lt;&gt;")=1,IFERROR(INDEX(Cases!$D$7:$D$56,MATCH($A34,Cases!$A$7:$A$56,0)),""),"")))&gt;0,LEN(TRIM(IF(COUNTIFS(Cases!$A$7:$A$56,$A34,Cases!$E$7:$E$56,"&lt;&gt;")=1,IFERROR(INDEX(Cases!$E$7:$E$56,MATCH($A34,Cases!$A$7:$A$56,0)),""),"")))&gt;0,LEN(TRIM(IF(COUNTIFS(Cases!$A$7:$A$56,$A34,Cases!$F$7:$F$56,"&lt;&gt;")=1,IFERROR(INDEX(Cases!$F$7:$F$56,MATCH($A34,Cases!$A$7:$A$56,0)),""),"")))&gt;0,LEN(TRIM(IF(COUNTIFS(Cases!$A$7:$A$56,$A34,Cases!$H$7:$H$56,"&lt;&gt;")=1,IFERROR(INDEX(Cases!$H$7:$H$56,MATCH($A34,Cases!$A$7:$A$56,0)),""),"")))&gt;0,LEN(TRIM(IF(COUNTIFS(Cases!$A$7:$A$56,$A34,Cases!$I$7:$I$56,"&lt;&gt;")=1,IFERROR(INDEX(Cases!$I$7:$I$56,MATCH($A34,Cases!$A$7:$A$56,0)),""),"")))&gt;0),1,0)</f>
        <v>0</v>
      </c>
      <c r="E34" s="14">
        <f>IF(AND(AG34=1,IFERROR(INDEX(Current!$G$7:$G$56,MATCH($A34,Current!$A$7:$A$56,0)),"")="Ready"),1,0)</f>
        <v>0</v>
      </c>
      <c r="F34" s="14">
        <f>IF(AND(AG34=1,IFERROR(INDEX(Proposed!$H$7:$H$56,MATCH($A34,Proposed!$A$7:$A$56,0)),"")="Ready",OR(AP34&lt;&gt;"Retain",AND(IFERROR(INDEX(Current!$B$7:$B$56,MATCH($A34,Current!$A$7:$A$56,0)),"")=IFERROR(INDEX(Proposed!$B$7:$B$56,MATCH($A34,Proposed!$A$7:$A$56,0)),""),IFERROR(INDEX(Current!$C$7:$C$56,MATCH($A34,Current!$A$7:$A$56,0)),"")=IFERROR(INDEX(Proposed!$C$7:$C$56,MATCH($A34,Proposed!$A$7:$A$56,0)),""),IFERROR(INDEX(Current!$D$7:$D$56,MATCH($A34,Current!$A$7:$A$56,0)),"")=IFERROR(INDEX(Proposed!$D$7:$D$56,MATCH($A34,Proposed!$A$7:$A$56,0)),""),IFERROR(INDEX(Current!$E$7:$E$56,MATCH($A34,Current!$A$7:$A$56,0)),"")=IFERROR(INDEX(Proposed!$E$7:$E$56,MATCH($A34,Proposed!$A$7:$A$56,0)),"")))),1,0)</f>
        <v>0</v>
      </c>
      <c r="G34" s="14" t="str">
        <f>IF(COUNTIFS('Challenge Review'!$A$7:$A$56,$A34,'Challenge Review'!$K$7:$K$56,"&lt;&gt;")=1,IFERROR(INDEX('Challenge Review'!$K$7:$K$56,MATCH($A34,'Challenge Review'!$A$7:$A$56,0)),""),"")</f>
        <v>Unchecked</v>
      </c>
      <c r="H34" s="14">
        <f>IF(AND(AG34=1,IFERROR(INDEX('Review &amp; Decision'!$B$7:$B$56,MATCH($A34,'Review &amp; Decision'!$A$7:$A$56,0)),"")="Evidence-backed",OR(IFERROR(INDEX('Review &amp; Decision'!$C$7:$C$56,MATCH($A34,'Review &amp; Decision'!$A$7:$A$56,0)),"")="Equivalent or better",AND(IFERROR(INDEX('Review &amp; Decision'!$C$7:$C$56,MATCH($A34,'Review &amp; Decision'!$A$7:$A$56,0)),"")="Accepted reduction",COUNTIFS('Review &amp; Decision'!$A$7:$A$56,$A34,'Review &amp; Decision'!$L$7:$L$56,"&lt;&gt;")=1)),COUNTIFS('Review &amp; Decision'!$A$7:$A$56,$A34,'Review &amp; Decision'!$D$7:$D$56,"&lt;&gt;")=1,COUNTIFS('Review &amp; Decision'!$A$7:$A$56,$A34,'Review &amp; Decision'!$F$7:$F$56,"&lt;&gt;")=1,OR(IFERROR(INDEX('Review &amp; Decision'!$E$7:$E$56,MATCH($A34,'Review &amp; Decision'!$A$7:$A$56,0)),"")="Approved",IFERROR(INDEX('Review &amp; Decision'!$E$7:$E$56,MATCH($A34,'Review &amp; Decision'!$A$7:$A$56,0)),"")="Implemented"),ISNUMBER(IFERROR(INDEX('Review &amp; Decision'!$G$7:$G$56,MATCH($A34,'Review &amp; Decision'!$A$7:$A$56,0)),"")),IFERROR(INDEX('Review &amp; Decision'!$G$7:$G$56,MATCH($A34,'Review &amp; Decision'!$A$7:$A$56,0)),"")&gt;0,IFERROR(INDEX('Review &amp; Decision'!$G$7:$G$56,MATCH($A34,'Review &amp; Decision'!$A$7:$A$56,0)),"")&lt;=Settings!$B$7,ISNUMBER(IFERROR(INDEX('Review &amp; Decision'!$I$7:$I$56,MATCH($A34,'Review &amp; Decision'!$A$7:$A$56,0)),"")),IFERROR(INDEX('Review &amp; Decision'!$I$7:$I$56,MATCH($A34,'Review &amp; Decision'!$A$7:$A$56,0)),"")&gt;0,IFERROR(INDEX('Review &amp; Decision'!$I$7:$I$56,MATCH($A34,'Review &amp; Decision'!$A$7:$A$56,0)),"")&lt;=Settings!$B$7,IFERROR(INDEX('Review &amp; Decision'!$I$7:$I$56,MATCH($A34,'Review &amp; Decision'!$A$7:$A$56,0)),"")&gt;=IFERROR(INDEX('Review &amp; Decision'!$G$7:$G$56,MATCH($A34,'Review &amp; Decision'!$A$7:$A$56,0)),""),COUNTIFS('Review &amp; Decision'!$A$7:$A$56,$A34,'Review &amp; Decision'!$J$7:$J$56,"&lt;&gt;")=1,COUNTIFS('Review &amp; Decision'!$A$7:$A$56,$A34,'Review &amp; Decision'!$K$7:$K$56,"&lt;&gt;")=1,ISNUMBER(IFERROR(INDEX('Review &amp; Decision'!$J$7:$J$56,MATCH($A34,'Review &amp; Decision'!$A$7:$A$56,0)),"")),IFERROR(INDEX('Review &amp; Decision'!$J$7:$J$56,MATCH($A34,'Review &amp; Decision'!$A$7:$A$56,0)),"")&gt;=0,IFERROR(INDEX('Review &amp; Decision'!$J$7:$J$56,MATCH($A34,'Review &amp; Decision'!$A$7:$A$56,0)),"")&lt;=1,ISNUMBER(IFERROR(INDEX('Review &amp; Decision'!$K$7:$K$56,MATCH($A34,'Review &amp; Decision'!$A$7:$A$56,0)),"")),IFERROR(INDEX('Review &amp; Decision'!$K$7:$K$56,MATCH($A34,'Review &amp; Decision'!$A$7:$A$56,0)),"")&gt;=0,IFERROR(INDEX('Review &amp; Decision'!$K$7:$K$56,MATCH($A34,'Review &amp; Decision'!$A$7:$A$56,0)),"")&lt;=1,ISNUMBER(Settings!$B$7),Settings!$B$7&gt;0,OR(Settings!$B$8="Approved + measured",Settings!$B$8="Measured only"),LEN(TRIM(IF(COUNTIFS('Review &amp; Decision'!$A$7:$A$56,$A34,'Review &amp; Decision'!$D$7:$D$56,"&lt;&gt;")=1,IFERROR(INDEX('Review &amp; Decision'!$D$7:$D$56,MATCH($A34,'Review &amp; Decision'!$A$7:$A$56,0)),""),"")))&gt;0,LEN(TRIM(IF(COUNTIFS('Review &amp; Decision'!$A$7:$A$56,$A34,'Review &amp; Decision'!$F$7:$F$56,"&lt;&gt;")=1,IFERROR(INDEX('Review &amp; Decision'!$F$7:$F$56,MATCH($A34,'Review &amp; Decision'!$A$7:$A$56,0)),""),"")))&gt;0,OR(IFERROR(INDEX('Review &amp; Decision'!$C$7:$C$56,MATCH($A34,'Review &amp; Decision'!$A$7:$A$56,0)),"")&lt;&gt;"Accepted reduction",LEN(TRIM(IF(COUNTIFS('Review &amp; Decision'!$A$7:$A$56,$A34,'Review &amp; Decision'!$L$7:$L$56,"&lt;&gt;")=1,IFERROR(INDEX('Review &amp; Decision'!$L$7:$L$56,MATCH($A34,'Review &amp; Decision'!$A$7:$A$56,0)),""),"")))&gt;0)),1,0)</f>
        <v>0</v>
      </c>
      <c r="I34" s="14">
        <f>IF(AND(AG34=1,IFERROR(INDEX(Actuals!$M$7:$M$56,MATCH($A34,Actuals!$A$7:$A$56,0)),"")="Ready",IFERROR(INDEX(Actuals!$D$7:$D$56,MATCH($A34,Actuals!$A$7:$A$56,0)),"")&gt;=IFERROR(INDEX('Review &amp; Decision'!$I$7:$I$56,MATCH($A34,'Review &amp; Decision'!$A$7:$A$56,0)),"")),1,0)</f>
        <v>0</v>
      </c>
      <c r="J34" s="14" t="str">
        <f t="shared" si="0"/>
        <v>Unused slot</v>
      </c>
      <c r="K34" s="14">
        <f t="shared" si="1"/>
        <v>0</v>
      </c>
      <c r="L34" s="14">
        <f t="shared" si="2"/>
        <v>0</v>
      </c>
      <c r="M34" s="14">
        <f>IF(OR(L34=1,AND(K34=1,Settings!$B$8="Approved + measured")),1,0)</f>
        <v>0</v>
      </c>
      <c r="N34" s="14" t="str">
        <f>IF(E34=1,IFERROR(INDEX(Current!$H$7:$H$56,MATCH($A34,Current!$A$7:$A$56,0)),""),"")</f>
        <v/>
      </c>
      <c r="O34" s="14" t="str">
        <f>IF(F34=1,IFERROR(INDEX(Proposed!$I$7:$I$56,MATCH($A34,Proposed!$A$7:$A$56,0)),""),"")</f>
        <v/>
      </c>
      <c r="P34" s="14" t="str">
        <f t="shared" si="3"/>
        <v/>
      </c>
      <c r="Q34" s="14" t="str">
        <f>IF(E34=1,IFERROR(INDEX(Current!$I$7:$I$56,MATCH($A34,Current!$A$7:$A$56,0)),""),"")</f>
        <v/>
      </c>
      <c r="R34" s="14" t="str">
        <f>IF(F34=1,IFERROR(INDEX(Proposed!$J$7:$J$56,MATCH($A34,Proposed!$A$7:$A$56,0)),""),"")</f>
        <v/>
      </c>
      <c r="S34" s="14" t="str">
        <f t="shared" si="4"/>
        <v/>
      </c>
      <c r="T34" s="14" t="str">
        <f>IF(E34=1,IFERROR(INDEX(Current!$E$7:$E$56,MATCH($A34,Current!$A$7:$A$56,0)),""),"")</f>
        <v/>
      </c>
      <c r="U34" s="14" t="str">
        <f>IF(F34=1,IFERROR(INDEX(Proposed!$E$7:$E$56,MATCH($A34,Proposed!$A$7:$A$56,0)),""),"")</f>
        <v/>
      </c>
      <c r="V34" s="14" t="str">
        <f t="shared" si="5"/>
        <v/>
      </c>
      <c r="W34" s="14" t="str">
        <f>IF(E34=1,IFERROR(INDEX(Current!$K$7:$K$56,MATCH($A34,Current!$A$7:$A$56,0)),""),"")</f>
        <v/>
      </c>
      <c r="X34" s="14" t="str">
        <f>IF(F34=1,IFERROR(INDEX(Proposed!$L$7:$L$56,MATCH($A34,Proposed!$A$7:$A$56,0)),""),"")</f>
        <v/>
      </c>
      <c r="Y34" s="14" t="str">
        <f t="shared" si="6"/>
        <v/>
      </c>
      <c r="Z34" s="14" t="str">
        <f>IF(F34=1,IFERROR(INDEX(Proposed!$F$7:$F$56,MATCH($A34,Proposed!$A$7:$A$56,0)),""),"")</f>
        <v/>
      </c>
      <c r="AA34" s="14">
        <f>IF(M34=1,IF(IF(L34=1,AL34,P34)&gt;0,IF(L34=1,AL34,P34)*IFERROR(INDEX('Review &amp; Decision'!$J$7:$J$56,MATCH($A34,'Review &amp; Decision'!$A$7:$A$56,0)),""),IF(L34=1,AL34,P34)),0)</f>
        <v>0</v>
      </c>
      <c r="AB34" s="14">
        <f>IF(M34=1,IF(IF(L34=1,AM34,S34)&gt;0,IF(L34=1,AM34,S34)*IFERROR(INDEX('Review &amp; Decision'!$K$7:$K$56,MATCH($A34,'Review &amp; Decision'!$A$7:$A$56,0)),""),IF(L34=1,AM34,S34)),0)</f>
        <v>0</v>
      </c>
      <c r="AC34" s="14">
        <f t="shared" si="7"/>
        <v>0</v>
      </c>
      <c r="AD34" s="14">
        <f t="shared" si="8"/>
        <v>0</v>
      </c>
      <c r="AE34" s="14">
        <f t="shared" si="9"/>
        <v>0</v>
      </c>
      <c r="AF34" s="14" t="str">
        <f t="shared" si="10"/>
        <v>No measurement warning</v>
      </c>
      <c r="AG34" s="14">
        <f>IF(AND(COUNTIF(Cases!$A$7:$A$56,$A34)=1,COUNTIF(Current!$A$7:$A$56,$A34)=1,COUNTIF(Proposed!$A$7:$A$56,$A34)=1,COUNTIF('Review &amp; Decision'!$A$7:$A$56,$A34)=1,COUNTIF('Challenge Review'!$A$7:$A$56,$A34)=1,COUNTIF(Actuals!$A$7:$A$56,$A34)=1,COUNTIF(Classification!$A$7:$A$56,$A34)=1),1,0)</f>
        <v>1</v>
      </c>
      <c r="AH34" s="14">
        <f t="shared" si="11"/>
        <v>0</v>
      </c>
      <c r="AI34" s="14" t="str">
        <f>IF(COUNTIFS('Review &amp; Decision'!$A$7:$A$56,$A34,'Review &amp; Decision'!$H$7:$H$56,"&lt;&gt;")=1,IFERROR(INDEX('Review &amp; Decision'!$H$7:$H$56,MATCH($A34,'Review &amp; Decision'!$A$7:$A$56,0)),""),"")</f>
        <v/>
      </c>
      <c r="AJ34" s="14" t="str">
        <f>IF(COUNTIFS('Review &amp; Decision'!$A$7:$A$56,$A34,'Review &amp; Decision'!$E$7:$E$56,"&lt;&gt;")=1,IFERROR(INDEX('Review &amp; Decision'!$E$7:$E$56,MATCH($A34,'Review &amp; Decision'!$A$7:$A$56,0)),""),"")</f>
        <v/>
      </c>
      <c r="AK34" s="14" t="str">
        <f>IF(COUNTIFS('Review &amp; Decision'!$A$7:$A$56,$A34,'Review &amp; Decision'!$B$7:$B$56,"&lt;&gt;")=1,IFERROR(INDEX('Review &amp; Decision'!$B$7:$B$56,MATCH($A34,'Review &amp; Decision'!$A$7:$A$56,0)),""),"")</f>
        <v/>
      </c>
      <c r="AL34" s="14" t="str">
        <f>IF(I34=1,IFERROR(INDEX(Actuals!$E$7:$E$56,MATCH($A34,Actuals!$A$7:$A$56,0)),""),"")</f>
        <v/>
      </c>
      <c r="AM34" s="14" t="str">
        <f>IF(I34=1,IFERROR(INDEX(Actuals!$F$7:$F$56,MATCH($A34,Actuals!$A$7:$A$56,0)),""),"")</f>
        <v/>
      </c>
      <c r="AN34" s="14" t="str">
        <f>IF(I34=1,IFERROR(INDEX(Actuals!$G$7:$G$56,MATCH($A34,Actuals!$A$7:$A$56,0)),""),"")</f>
        <v/>
      </c>
      <c r="AO34" s="14" t="str">
        <f>IF(I34=1,IFERROR(INDEX(Actuals!$G$7:$G$56,MATCH($A34,Actuals!$A$7:$A$56,0)),"")+IFERROR(INDEX(Actuals!$H$7:$H$56,MATCH($A34,Actuals!$A$7:$A$56,0)),""),"")</f>
        <v/>
      </c>
      <c r="AP34" s="14" t="str">
        <f>IF(COUNTIFS(Cases!$A$7:$A$56,$A34,Cases!$G$7:$G$56,"&lt;&gt;")=1,IFERROR(INDEX(Cases!$G$7:$G$56,MATCH($A34,Cases!$A$7:$A$56,0)),""),"")</f>
        <v/>
      </c>
    </row>
    <row r="35" spans="1:42" ht="43.9" customHeight="1">
      <c r="A35" s="14" t="s">
        <v>126</v>
      </c>
      <c r="B35" s="14" t="str">
        <f>IF(COUNTIFS(Cases!$A$7:$A$56,$A35,Cases!$B$7:$B$56,"&lt;&gt;")=1,IFERROR(INDEX(Cases!$B$7:$B$56,MATCH($A35,Cases!$A$7:$A$56,0)),""),"")</f>
        <v>Inactive</v>
      </c>
      <c r="C35" s="14" t="str">
        <f>IF(COUNTIFS(Cases!$A$7:$A$56,$A35,Cases!$C$7:$C$56,"&lt;&gt;")=1,IFERROR(INDEX(Cases!$C$7:$C$56,MATCH($A35,Cases!$A$7:$A$56,0)),""),"")</f>
        <v/>
      </c>
      <c r="D35" s="14">
        <f>IF(AND(AG35=1,OR(B35="Example",B35="Live"),OR(AP35="Simplify",AP35="Replace",AP35="Reduce scope",AP35="Retire",AP35="Retain"),COUNTIFS(Cases!$A$7:$A$56,$A35,Cases!$C$7:$C$56,"&lt;&gt;")=1,COUNTIFS(Cases!$A$7:$A$56,$A35,Cases!$D$7:$D$56,"&lt;&gt;")=1,COUNTIFS(Cases!$A$7:$A$56,$A35,Cases!$E$7:$E$56,"&lt;&gt;")=1,COUNTIFS(Cases!$A$7:$A$56,$A35,Cases!$F$7:$F$56,"&lt;&gt;")=1,COUNTIFS(Cases!$A$7:$A$56,$A35,Cases!$H$7:$H$56,"&lt;&gt;")=1,COUNTIFS(Cases!$A$7:$A$56,$A35,Cases!$I$7:$I$56,"&lt;&gt;")=1,LEN(TRIM(IF(COUNTIFS(Cases!$A$7:$A$56,$A35,Cases!$C$7:$C$56,"&lt;&gt;")=1,IFERROR(INDEX(Cases!$C$7:$C$56,MATCH($A35,Cases!$A$7:$A$56,0)),""),"")))&gt;0,LEN(TRIM(IF(COUNTIFS(Cases!$A$7:$A$56,$A35,Cases!$D$7:$D$56,"&lt;&gt;")=1,IFERROR(INDEX(Cases!$D$7:$D$56,MATCH($A35,Cases!$A$7:$A$56,0)),""),"")))&gt;0,LEN(TRIM(IF(COUNTIFS(Cases!$A$7:$A$56,$A35,Cases!$E$7:$E$56,"&lt;&gt;")=1,IFERROR(INDEX(Cases!$E$7:$E$56,MATCH($A35,Cases!$A$7:$A$56,0)),""),"")))&gt;0,LEN(TRIM(IF(COUNTIFS(Cases!$A$7:$A$56,$A35,Cases!$F$7:$F$56,"&lt;&gt;")=1,IFERROR(INDEX(Cases!$F$7:$F$56,MATCH($A35,Cases!$A$7:$A$56,0)),""),"")))&gt;0,LEN(TRIM(IF(COUNTIFS(Cases!$A$7:$A$56,$A35,Cases!$H$7:$H$56,"&lt;&gt;")=1,IFERROR(INDEX(Cases!$H$7:$H$56,MATCH($A35,Cases!$A$7:$A$56,0)),""),"")))&gt;0,LEN(TRIM(IF(COUNTIFS(Cases!$A$7:$A$56,$A35,Cases!$I$7:$I$56,"&lt;&gt;")=1,IFERROR(INDEX(Cases!$I$7:$I$56,MATCH($A35,Cases!$A$7:$A$56,0)),""),"")))&gt;0),1,0)</f>
        <v>0</v>
      </c>
      <c r="E35" s="14">
        <f>IF(AND(AG35=1,IFERROR(INDEX(Current!$G$7:$G$56,MATCH($A35,Current!$A$7:$A$56,0)),"")="Ready"),1,0)</f>
        <v>0</v>
      </c>
      <c r="F35" s="14">
        <f>IF(AND(AG35=1,IFERROR(INDEX(Proposed!$H$7:$H$56,MATCH($A35,Proposed!$A$7:$A$56,0)),"")="Ready",OR(AP35&lt;&gt;"Retain",AND(IFERROR(INDEX(Current!$B$7:$B$56,MATCH($A35,Current!$A$7:$A$56,0)),"")=IFERROR(INDEX(Proposed!$B$7:$B$56,MATCH($A35,Proposed!$A$7:$A$56,0)),""),IFERROR(INDEX(Current!$C$7:$C$56,MATCH($A35,Current!$A$7:$A$56,0)),"")=IFERROR(INDEX(Proposed!$C$7:$C$56,MATCH($A35,Proposed!$A$7:$A$56,0)),""),IFERROR(INDEX(Current!$D$7:$D$56,MATCH($A35,Current!$A$7:$A$56,0)),"")=IFERROR(INDEX(Proposed!$D$7:$D$56,MATCH($A35,Proposed!$A$7:$A$56,0)),""),IFERROR(INDEX(Current!$E$7:$E$56,MATCH($A35,Current!$A$7:$A$56,0)),"")=IFERROR(INDEX(Proposed!$E$7:$E$56,MATCH($A35,Proposed!$A$7:$A$56,0)),"")))),1,0)</f>
        <v>0</v>
      </c>
      <c r="G35" s="14" t="str">
        <f>IF(COUNTIFS('Challenge Review'!$A$7:$A$56,$A35,'Challenge Review'!$K$7:$K$56,"&lt;&gt;")=1,IFERROR(INDEX('Challenge Review'!$K$7:$K$56,MATCH($A35,'Challenge Review'!$A$7:$A$56,0)),""),"")</f>
        <v>Unchecked</v>
      </c>
      <c r="H35" s="14">
        <f>IF(AND(AG35=1,IFERROR(INDEX('Review &amp; Decision'!$B$7:$B$56,MATCH($A35,'Review &amp; Decision'!$A$7:$A$56,0)),"")="Evidence-backed",OR(IFERROR(INDEX('Review &amp; Decision'!$C$7:$C$56,MATCH($A35,'Review &amp; Decision'!$A$7:$A$56,0)),"")="Equivalent or better",AND(IFERROR(INDEX('Review &amp; Decision'!$C$7:$C$56,MATCH($A35,'Review &amp; Decision'!$A$7:$A$56,0)),"")="Accepted reduction",COUNTIFS('Review &amp; Decision'!$A$7:$A$56,$A35,'Review &amp; Decision'!$L$7:$L$56,"&lt;&gt;")=1)),COUNTIFS('Review &amp; Decision'!$A$7:$A$56,$A35,'Review &amp; Decision'!$D$7:$D$56,"&lt;&gt;")=1,COUNTIFS('Review &amp; Decision'!$A$7:$A$56,$A35,'Review &amp; Decision'!$F$7:$F$56,"&lt;&gt;")=1,OR(IFERROR(INDEX('Review &amp; Decision'!$E$7:$E$56,MATCH($A35,'Review &amp; Decision'!$A$7:$A$56,0)),"")="Approved",IFERROR(INDEX('Review &amp; Decision'!$E$7:$E$56,MATCH($A35,'Review &amp; Decision'!$A$7:$A$56,0)),"")="Implemented"),ISNUMBER(IFERROR(INDEX('Review &amp; Decision'!$G$7:$G$56,MATCH($A35,'Review &amp; Decision'!$A$7:$A$56,0)),"")),IFERROR(INDEX('Review &amp; Decision'!$G$7:$G$56,MATCH($A35,'Review &amp; Decision'!$A$7:$A$56,0)),"")&gt;0,IFERROR(INDEX('Review &amp; Decision'!$G$7:$G$56,MATCH($A35,'Review &amp; Decision'!$A$7:$A$56,0)),"")&lt;=Settings!$B$7,ISNUMBER(IFERROR(INDEX('Review &amp; Decision'!$I$7:$I$56,MATCH($A35,'Review &amp; Decision'!$A$7:$A$56,0)),"")),IFERROR(INDEX('Review &amp; Decision'!$I$7:$I$56,MATCH($A35,'Review &amp; Decision'!$A$7:$A$56,0)),"")&gt;0,IFERROR(INDEX('Review &amp; Decision'!$I$7:$I$56,MATCH($A35,'Review &amp; Decision'!$A$7:$A$56,0)),"")&lt;=Settings!$B$7,IFERROR(INDEX('Review &amp; Decision'!$I$7:$I$56,MATCH($A35,'Review &amp; Decision'!$A$7:$A$56,0)),"")&gt;=IFERROR(INDEX('Review &amp; Decision'!$G$7:$G$56,MATCH($A35,'Review &amp; Decision'!$A$7:$A$56,0)),""),COUNTIFS('Review &amp; Decision'!$A$7:$A$56,$A35,'Review &amp; Decision'!$J$7:$J$56,"&lt;&gt;")=1,COUNTIFS('Review &amp; Decision'!$A$7:$A$56,$A35,'Review &amp; Decision'!$K$7:$K$56,"&lt;&gt;")=1,ISNUMBER(IFERROR(INDEX('Review &amp; Decision'!$J$7:$J$56,MATCH($A35,'Review &amp; Decision'!$A$7:$A$56,0)),"")),IFERROR(INDEX('Review &amp; Decision'!$J$7:$J$56,MATCH($A35,'Review &amp; Decision'!$A$7:$A$56,0)),"")&gt;=0,IFERROR(INDEX('Review &amp; Decision'!$J$7:$J$56,MATCH($A35,'Review &amp; Decision'!$A$7:$A$56,0)),"")&lt;=1,ISNUMBER(IFERROR(INDEX('Review &amp; Decision'!$K$7:$K$56,MATCH($A35,'Review &amp; Decision'!$A$7:$A$56,0)),"")),IFERROR(INDEX('Review &amp; Decision'!$K$7:$K$56,MATCH($A35,'Review &amp; Decision'!$A$7:$A$56,0)),"")&gt;=0,IFERROR(INDEX('Review &amp; Decision'!$K$7:$K$56,MATCH($A35,'Review &amp; Decision'!$A$7:$A$56,0)),"")&lt;=1,ISNUMBER(Settings!$B$7),Settings!$B$7&gt;0,OR(Settings!$B$8="Approved + measured",Settings!$B$8="Measured only"),LEN(TRIM(IF(COUNTIFS('Review &amp; Decision'!$A$7:$A$56,$A35,'Review &amp; Decision'!$D$7:$D$56,"&lt;&gt;")=1,IFERROR(INDEX('Review &amp; Decision'!$D$7:$D$56,MATCH($A35,'Review &amp; Decision'!$A$7:$A$56,0)),""),"")))&gt;0,LEN(TRIM(IF(COUNTIFS('Review &amp; Decision'!$A$7:$A$56,$A35,'Review &amp; Decision'!$F$7:$F$56,"&lt;&gt;")=1,IFERROR(INDEX('Review &amp; Decision'!$F$7:$F$56,MATCH($A35,'Review &amp; Decision'!$A$7:$A$56,0)),""),"")))&gt;0,OR(IFERROR(INDEX('Review &amp; Decision'!$C$7:$C$56,MATCH($A35,'Review &amp; Decision'!$A$7:$A$56,0)),"")&lt;&gt;"Accepted reduction",LEN(TRIM(IF(COUNTIFS('Review &amp; Decision'!$A$7:$A$56,$A35,'Review &amp; Decision'!$L$7:$L$56,"&lt;&gt;")=1,IFERROR(INDEX('Review &amp; Decision'!$L$7:$L$56,MATCH($A35,'Review &amp; Decision'!$A$7:$A$56,0)),""),"")))&gt;0)),1,0)</f>
        <v>0</v>
      </c>
      <c r="I35" s="14">
        <f>IF(AND(AG35=1,IFERROR(INDEX(Actuals!$M$7:$M$56,MATCH($A35,Actuals!$A$7:$A$56,0)),"")="Ready",IFERROR(INDEX(Actuals!$D$7:$D$56,MATCH($A35,Actuals!$A$7:$A$56,0)),"")&gt;=IFERROR(INDEX('Review &amp; Decision'!$I$7:$I$56,MATCH($A35,'Review &amp; Decision'!$A$7:$A$56,0)),"")),1,0)</f>
        <v>0</v>
      </c>
      <c r="J35" s="14" t="str">
        <f t="shared" si="0"/>
        <v>Unused slot</v>
      </c>
      <c r="K35" s="14">
        <f t="shared" si="1"/>
        <v>0</v>
      </c>
      <c r="L35" s="14">
        <f t="shared" si="2"/>
        <v>0</v>
      </c>
      <c r="M35" s="14">
        <f>IF(OR(L35=1,AND(K35=1,Settings!$B$8="Approved + measured")),1,0)</f>
        <v>0</v>
      </c>
      <c r="N35" s="14" t="str">
        <f>IF(E35=1,IFERROR(INDEX(Current!$H$7:$H$56,MATCH($A35,Current!$A$7:$A$56,0)),""),"")</f>
        <v/>
      </c>
      <c r="O35" s="14" t="str">
        <f>IF(F35=1,IFERROR(INDEX(Proposed!$I$7:$I$56,MATCH($A35,Proposed!$A$7:$A$56,0)),""),"")</f>
        <v/>
      </c>
      <c r="P35" s="14" t="str">
        <f t="shared" si="3"/>
        <v/>
      </c>
      <c r="Q35" s="14" t="str">
        <f>IF(E35=1,IFERROR(INDEX(Current!$I$7:$I$56,MATCH($A35,Current!$A$7:$A$56,0)),""),"")</f>
        <v/>
      </c>
      <c r="R35" s="14" t="str">
        <f>IF(F35=1,IFERROR(INDEX(Proposed!$J$7:$J$56,MATCH($A35,Proposed!$A$7:$A$56,0)),""),"")</f>
        <v/>
      </c>
      <c r="S35" s="14" t="str">
        <f t="shared" si="4"/>
        <v/>
      </c>
      <c r="T35" s="14" t="str">
        <f>IF(E35=1,IFERROR(INDEX(Current!$E$7:$E$56,MATCH($A35,Current!$A$7:$A$56,0)),""),"")</f>
        <v/>
      </c>
      <c r="U35" s="14" t="str">
        <f>IF(F35=1,IFERROR(INDEX(Proposed!$E$7:$E$56,MATCH($A35,Proposed!$A$7:$A$56,0)),""),"")</f>
        <v/>
      </c>
      <c r="V35" s="14" t="str">
        <f t="shared" si="5"/>
        <v/>
      </c>
      <c r="W35" s="14" t="str">
        <f>IF(E35=1,IFERROR(INDEX(Current!$K$7:$K$56,MATCH($A35,Current!$A$7:$A$56,0)),""),"")</f>
        <v/>
      </c>
      <c r="X35" s="14" t="str">
        <f>IF(F35=1,IFERROR(INDEX(Proposed!$L$7:$L$56,MATCH($A35,Proposed!$A$7:$A$56,0)),""),"")</f>
        <v/>
      </c>
      <c r="Y35" s="14" t="str">
        <f t="shared" si="6"/>
        <v/>
      </c>
      <c r="Z35" s="14" t="str">
        <f>IF(F35=1,IFERROR(INDEX(Proposed!$F$7:$F$56,MATCH($A35,Proposed!$A$7:$A$56,0)),""),"")</f>
        <v/>
      </c>
      <c r="AA35" s="14">
        <f>IF(M35=1,IF(IF(L35=1,AL35,P35)&gt;0,IF(L35=1,AL35,P35)*IFERROR(INDEX('Review &amp; Decision'!$J$7:$J$56,MATCH($A35,'Review &amp; Decision'!$A$7:$A$56,0)),""),IF(L35=1,AL35,P35)),0)</f>
        <v>0</v>
      </c>
      <c r="AB35" s="14">
        <f>IF(M35=1,IF(IF(L35=1,AM35,S35)&gt;0,IF(L35=1,AM35,S35)*IFERROR(INDEX('Review &amp; Decision'!$K$7:$K$56,MATCH($A35,'Review &amp; Decision'!$A$7:$A$56,0)),""),IF(L35=1,AM35,S35)),0)</f>
        <v>0</v>
      </c>
      <c r="AC35" s="14">
        <f t="shared" si="7"/>
        <v>0</v>
      </c>
      <c r="AD35" s="14">
        <f t="shared" si="8"/>
        <v>0</v>
      </c>
      <c r="AE35" s="14">
        <f t="shared" si="9"/>
        <v>0</v>
      </c>
      <c r="AF35" s="14" t="str">
        <f t="shared" si="10"/>
        <v>No measurement warning</v>
      </c>
      <c r="AG35" s="14">
        <f>IF(AND(COUNTIF(Cases!$A$7:$A$56,$A35)=1,COUNTIF(Current!$A$7:$A$56,$A35)=1,COUNTIF(Proposed!$A$7:$A$56,$A35)=1,COUNTIF('Review &amp; Decision'!$A$7:$A$56,$A35)=1,COUNTIF('Challenge Review'!$A$7:$A$56,$A35)=1,COUNTIF(Actuals!$A$7:$A$56,$A35)=1,COUNTIF(Classification!$A$7:$A$56,$A35)=1),1,0)</f>
        <v>1</v>
      </c>
      <c r="AH35" s="14">
        <f t="shared" si="11"/>
        <v>0</v>
      </c>
      <c r="AI35" s="14" t="str">
        <f>IF(COUNTIFS('Review &amp; Decision'!$A$7:$A$56,$A35,'Review &amp; Decision'!$H$7:$H$56,"&lt;&gt;")=1,IFERROR(INDEX('Review &amp; Decision'!$H$7:$H$56,MATCH($A35,'Review &amp; Decision'!$A$7:$A$56,0)),""),"")</f>
        <v/>
      </c>
      <c r="AJ35" s="14" t="str">
        <f>IF(COUNTIFS('Review &amp; Decision'!$A$7:$A$56,$A35,'Review &amp; Decision'!$E$7:$E$56,"&lt;&gt;")=1,IFERROR(INDEX('Review &amp; Decision'!$E$7:$E$56,MATCH($A35,'Review &amp; Decision'!$A$7:$A$56,0)),""),"")</f>
        <v/>
      </c>
      <c r="AK35" s="14" t="str">
        <f>IF(COUNTIFS('Review &amp; Decision'!$A$7:$A$56,$A35,'Review &amp; Decision'!$B$7:$B$56,"&lt;&gt;")=1,IFERROR(INDEX('Review &amp; Decision'!$B$7:$B$56,MATCH($A35,'Review &amp; Decision'!$A$7:$A$56,0)),""),"")</f>
        <v/>
      </c>
      <c r="AL35" s="14" t="str">
        <f>IF(I35=1,IFERROR(INDEX(Actuals!$E$7:$E$56,MATCH($A35,Actuals!$A$7:$A$56,0)),""),"")</f>
        <v/>
      </c>
      <c r="AM35" s="14" t="str">
        <f>IF(I35=1,IFERROR(INDEX(Actuals!$F$7:$F$56,MATCH($A35,Actuals!$A$7:$A$56,0)),""),"")</f>
        <v/>
      </c>
      <c r="AN35" s="14" t="str">
        <f>IF(I35=1,IFERROR(INDEX(Actuals!$G$7:$G$56,MATCH($A35,Actuals!$A$7:$A$56,0)),""),"")</f>
        <v/>
      </c>
      <c r="AO35" s="14" t="str">
        <f>IF(I35=1,IFERROR(INDEX(Actuals!$G$7:$G$56,MATCH($A35,Actuals!$A$7:$A$56,0)),"")+IFERROR(INDEX(Actuals!$H$7:$H$56,MATCH($A35,Actuals!$A$7:$A$56,0)),""),"")</f>
        <v/>
      </c>
      <c r="AP35" s="14" t="str">
        <f>IF(COUNTIFS(Cases!$A$7:$A$56,$A35,Cases!$G$7:$G$56,"&lt;&gt;")=1,IFERROR(INDEX(Cases!$G$7:$G$56,MATCH($A35,Cases!$A$7:$A$56,0)),""),"")</f>
        <v/>
      </c>
    </row>
    <row r="36" spans="1:42" ht="43.9" customHeight="1">
      <c r="A36" s="14" t="s">
        <v>127</v>
      </c>
      <c r="B36" s="14" t="str">
        <f>IF(COUNTIFS(Cases!$A$7:$A$56,$A36,Cases!$B$7:$B$56,"&lt;&gt;")=1,IFERROR(INDEX(Cases!$B$7:$B$56,MATCH($A36,Cases!$A$7:$A$56,0)),""),"")</f>
        <v>Inactive</v>
      </c>
      <c r="C36" s="14" t="str">
        <f>IF(COUNTIFS(Cases!$A$7:$A$56,$A36,Cases!$C$7:$C$56,"&lt;&gt;")=1,IFERROR(INDEX(Cases!$C$7:$C$56,MATCH($A36,Cases!$A$7:$A$56,0)),""),"")</f>
        <v/>
      </c>
      <c r="D36" s="14">
        <f>IF(AND(AG36=1,OR(B36="Example",B36="Live"),OR(AP36="Simplify",AP36="Replace",AP36="Reduce scope",AP36="Retire",AP36="Retain"),COUNTIFS(Cases!$A$7:$A$56,$A36,Cases!$C$7:$C$56,"&lt;&gt;")=1,COUNTIFS(Cases!$A$7:$A$56,$A36,Cases!$D$7:$D$56,"&lt;&gt;")=1,COUNTIFS(Cases!$A$7:$A$56,$A36,Cases!$E$7:$E$56,"&lt;&gt;")=1,COUNTIFS(Cases!$A$7:$A$56,$A36,Cases!$F$7:$F$56,"&lt;&gt;")=1,COUNTIFS(Cases!$A$7:$A$56,$A36,Cases!$H$7:$H$56,"&lt;&gt;")=1,COUNTIFS(Cases!$A$7:$A$56,$A36,Cases!$I$7:$I$56,"&lt;&gt;")=1,LEN(TRIM(IF(COUNTIFS(Cases!$A$7:$A$56,$A36,Cases!$C$7:$C$56,"&lt;&gt;")=1,IFERROR(INDEX(Cases!$C$7:$C$56,MATCH($A36,Cases!$A$7:$A$56,0)),""),"")))&gt;0,LEN(TRIM(IF(COUNTIFS(Cases!$A$7:$A$56,$A36,Cases!$D$7:$D$56,"&lt;&gt;")=1,IFERROR(INDEX(Cases!$D$7:$D$56,MATCH($A36,Cases!$A$7:$A$56,0)),""),"")))&gt;0,LEN(TRIM(IF(COUNTIFS(Cases!$A$7:$A$56,$A36,Cases!$E$7:$E$56,"&lt;&gt;")=1,IFERROR(INDEX(Cases!$E$7:$E$56,MATCH($A36,Cases!$A$7:$A$56,0)),""),"")))&gt;0,LEN(TRIM(IF(COUNTIFS(Cases!$A$7:$A$56,$A36,Cases!$F$7:$F$56,"&lt;&gt;")=1,IFERROR(INDEX(Cases!$F$7:$F$56,MATCH($A36,Cases!$A$7:$A$56,0)),""),"")))&gt;0,LEN(TRIM(IF(COUNTIFS(Cases!$A$7:$A$56,$A36,Cases!$H$7:$H$56,"&lt;&gt;")=1,IFERROR(INDEX(Cases!$H$7:$H$56,MATCH($A36,Cases!$A$7:$A$56,0)),""),"")))&gt;0,LEN(TRIM(IF(COUNTIFS(Cases!$A$7:$A$56,$A36,Cases!$I$7:$I$56,"&lt;&gt;")=1,IFERROR(INDEX(Cases!$I$7:$I$56,MATCH($A36,Cases!$A$7:$A$56,0)),""),"")))&gt;0),1,0)</f>
        <v>0</v>
      </c>
      <c r="E36" s="14">
        <f>IF(AND(AG36=1,IFERROR(INDEX(Current!$G$7:$G$56,MATCH($A36,Current!$A$7:$A$56,0)),"")="Ready"),1,0)</f>
        <v>0</v>
      </c>
      <c r="F36" s="14">
        <f>IF(AND(AG36=1,IFERROR(INDEX(Proposed!$H$7:$H$56,MATCH($A36,Proposed!$A$7:$A$56,0)),"")="Ready",OR(AP36&lt;&gt;"Retain",AND(IFERROR(INDEX(Current!$B$7:$B$56,MATCH($A36,Current!$A$7:$A$56,0)),"")=IFERROR(INDEX(Proposed!$B$7:$B$56,MATCH($A36,Proposed!$A$7:$A$56,0)),""),IFERROR(INDEX(Current!$C$7:$C$56,MATCH($A36,Current!$A$7:$A$56,0)),"")=IFERROR(INDEX(Proposed!$C$7:$C$56,MATCH($A36,Proposed!$A$7:$A$56,0)),""),IFERROR(INDEX(Current!$D$7:$D$56,MATCH($A36,Current!$A$7:$A$56,0)),"")=IFERROR(INDEX(Proposed!$D$7:$D$56,MATCH($A36,Proposed!$A$7:$A$56,0)),""),IFERROR(INDEX(Current!$E$7:$E$56,MATCH($A36,Current!$A$7:$A$56,0)),"")=IFERROR(INDEX(Proposed!$E$7:$E$56,MATCH($A36,Proposed!$A$7:$A$56,0)),"")))),1,0)</f>
        <v>0</v>
      </c>
      <c r="G36" s="14" t="str">
        <f>IF(COUNTIFS('Challenge Review'!$A$7:$A$56,$A36,'Challenge Review'!$K$7:$K$56,"&lt;&gt;")=1,IFERROR(INDEX('Challenge Review'!$K$7:$K$56,MATCH($A36,'Challenge Review'!$A$7:$A$56,0)),""),"")</f>
        <v>Unchecked</v>
      </c>
      <c r="H36" s="14">
        <f>IF(AND(AG36=1,IFERROR(INDEX('Review &amp; Decision'!$B$7:$B$56,MATCH($A36,'Review &amp; Decision'!$A$7:$A$56,0)),"")="Evidence-backed",OR(IFERROR(INDEX('Review &amp; Decision'!$C$7:$C$56,MATCH($A36,'Review &amp; Decision'!$A$7:$A$56,0)),"")="Equivalent or better",AND(IFERROR(INDEX('Review &amp; Decision'!$C$7:$C$56,MATCH($A36,'Review &amp; Decision'!$A$7:$A$56,0)),"")="Accepted reduction",COUNTIFS('Review &amp; Decision'!$A$7:$A$56,$A36,'Review &amp; Decision'!$L$7:$L$56,"&lt;&gt;")=1)),COUNTIFS('Review &amp; Decision'!$A$7:$A$56,$A36,'Review &amp; Decision'!$D$7:$D$56,"&lt;&gt;")=1,COUNTIFS('Review &amp; Decision'!$A$7:$A$56,$A36,'Review &amp; Decision'!$F$7:$F$56,"&lt;&gt;")=1,OR(IFERROR(INDEX('Review &amp; Decision'!$E$7:$E$56,MATCH($A36,'Review &amp; Decision'!$A$7:$A$56,0)),"")="Approved",IFERROR(INDEX('Review &amp; Decision'!$E$7:$E$56,MATCH($A36,'Review &amp; Decision'!$A$7:$A$56,0)),"")="Implemented"),ISNUMBER(IFERROR(INDEX('Review &amp; Decision'!$G$7:$G$56,MATCH($A36,'Review &amp; Decision'!$A$7:$A$56,0)),"")),IFERROR(INDEX('Review &amp; Decision'!$G$7:$G$56,MATCH($A36,'Review &amp; Decision'!$A$7:$A$56,0)),"")&gt;0,IFERROR(INDEX('Review &amp; Decision'!$G$7:$G$56,MATCH($A36,'Review &amp; Decision'!$A$7:$A$56,0)),"")&lt;=Settings!$B$7,ISNUMBER(IFERROR(INDEX('Review &amp; Decision'!$I$7:$I$56,MATCH($A36,'Review &amp; Decision'!$A$7:$A$56,0)),"")),IFERROR(INDEX('Review &amp; Decision'!$I$7:$I$56,MATCH($A36,'Review &amp; Decision'!$A$7:$A$56,0)),"")&gt;0,IFERROR(INDEX('Review &amp; Decision'!$I$7:$I$56,MATCH($A36,'Review &amp; Decision'!$A$7:$A$56,0)),"")&lt;=Settings!$B$7,IFERROR(INDEX('Review &amp; Decision'!$I$7:$I$56,MATCH($A36,'Review &amp; Decision'!$A$7:$A$56,0)),"")&gt;=IFERROR(INDEX('Review &amp; Decision'!$G$7:$G$56,MATCH($A36,'Review &amp; Decision'!$A$7:$A$56,0)),""),COUNTIFS('Review &amp; Decision'!$A$7:$A$56,$A36,'Review &amp; Decision'!$J$7:$J$56,"&lt;&gt;")=1,COUNTIFS('Review &amp; Decision'!$A$7:$A$56,$A36,'Review &amp; Decision'!$K$7:$K$56,"&lt;&gt;")=1,ISNUMBER(IFERROR(INDEX('Review &amp; Decision'!$J$7:$J$56,MATCH($A36,'Review &amp; Decision'!$A$7:$A$56,0)),"")),IFERROR(INDEX('Review &amp; Decision'!$J$7:$J$56,MATCH($A36,'Review &amp; Decision'!$A$7:$A$56,0)),"")&gt;=0,IFERROR(INDEX('Review &amp; Decision'!$J$7:$J$56,MATCH($A36,'Review &amp; Decision'!$A$7:$A$56,0)),"")&lt;=1,ISNUMBER(IFERROR(INDEX('Review &amp; Decision'!$K$7:$K$56,MATCH($A36,'Review &amp; Decision'!$A$7:$A$56,0)),"")),IFERROR(INDEX('Review &amp; Decision'!$K$7:$K$56,MATCH($A36,'Review &amp; Decision'!$A$7:$A$56,0)),"")&gt;=0,IFERROR(INDEX('Review &amp; Decision'!$K$7:$K$56,MATCH($A36,'Review &amp; Decision'!$A$7:$A$56,0)),"")&lt;=1,ISNUMBER(Settings!$B$7),Settings!$B$7&gt;0,OR(Settings!$B$8="Approved + measured",Settings!$B$8="Measured only"),LEN(TRIM(IF(COUNTIFS('Review &amp; Decision'!$A$7:$A$56,$A36,'Review &amp; Decision'!$D$7:$D$56,"&lt;&gt;")=1,IFERROR(INDEX('Review &amp; Decision'!$D$7:$D$56,MATCH($A36,'Review &amp; Decision'!$A$7:$A$56,0)),""),"")))&gt;0,LEN(TRIM(IF(COUNTIFS('Review &amp; Decision'!$A$7:$A$56,$A36,'Review &amp; Decision'!$F$7:$F$56,"&lt;&gt;")=1,IFERROR(INDEX('Review &amp; Decision'!$F$7:$F$56,MATCH($A36,'Review &amp; Decision'!$A$7:$A$56,0)),""),"")))&gt;0,OR(IFERROR(INDEX('Review &amp; Decision'!$C$7:$C$56,MATCH($A36,'Review &amp; Decision'!$A$7:$A$56,0)),"")&lt;&gt;"Accepted reduction",LEN(TRIM(IF(COUNTIFS('Review &amp; Decision'!$A$7:$A$56,$A36,'Review &amp; Decision'!$L$7:$L$56,"&lt;&gt;")=1,IFERROR(INDEX('Review &amp; Decision'!$L$7:$L$56,MATCH($A36,'Review &amp; Decision'!$A$7:$A$56,0)),""),"")))&gt;0)),1,0)</f>
        <v>0</v>
      </c>
      <c r="I36" s="14">
        <f>IF(AND(AG36=1,IFERROR(INDEX(Actuals!$M$7:$M$56,MATCH($A36,Actuals!$A$7:$A$56,0)),"")="Ready",IFERROR(INDEX(Actuals!$D$7:$D$56,MATCH($A36,Actuals!$A$7:$A$56,0)),"")&gt;=IFERROR(INDEX('Review &amp; Decision'!$I$7:$I$56,MATCH($A36,'Review &amp; Decision'!$A$7:$A$56,0)),"")),1,0)</f>
        <v>0</v>
      </c>
      <c r="J36" s="14" t="str">
        <f t="shared" si="0"/>
        <v>Unused slot</v>
      </c>
      <c r="K36" s="14">
        <f t="shared" si="1"/>
        <v>0</v>
      </c>
      <c r="L36" s="14">
        <f t="shared" si="2"/>
        <v>0</v>
      </c>
      <c r="M36" s="14">
        <f>IF(OR(L36=1,AND(K36=1,Settings!$B$8="Approved + measured")),1,0)</f>
        <v>0</v>
      </c>
      <c r="N36" s="14" t="str">
        <f>IF(E36=1,IFERROR(INDEX(Current!$H$7:$H$56,MATCH($A36,Current!$A$7:$A$56,0)),""),"")</f>
        <v/>
      </c>
      <c r="O36" s="14" t="str">
        <f>IF(F36=1,IFERROR(INDEX(Proposed!$I$7:$I$56,MATCH($A36,Proposed!$A$7:$A$56,0)),""),"")</f>
        <v/>
      </c>
      <c r="P36" s="14" t="str">
        <f t="shared" si="3"/>
        <v/>
      </c>
      <c r="Q36" s="14" t="str">
        <f>IF(E36=1,IFERROR(INDEX(Current!$I$7:$I$56,MATCH($A36,Current!$A$7:$A$56,0)),""),"")</f>
        <v/>
      </c>
      <c r="R36" s="14" t="str">
        <f>IF(F36=1,IFERROR(INDEX(Proposed!$J$7:$J$56,MATCH($A36,Proposed!$A$7:$A$56,0)),""),"")</f>
        <v/>
      </c>
      <c r="S36" s="14" t="str">
        <f t="shared" si="4"/>
        <v/>
      </c>
      <c r="T36" s="14" t="str">
        <f>IF(E36=1,IFERROR(INDEX(Current!$E$7:$E$56,MATCH($A36,Current!$A$7:$A$56,0)),""),"")</f>
        <v/>
      </c>
      <c r="U36" s="14" t="str">
        <f>IF(F36=1,IFERROR(INDEX(Proposed!$E$7:$E$56,MATCH($A36,Proposed!$A$7:$A$56,0)),""),"")</f>
        <v/>
      </c>
      <c r="V36" s="14" t="str">
        <f t="shared" si="5"/>
        <v/>
      </c>
      <c r="W36" s="14" t="str">
        <f>IF(E36=1,IFERROR(INDEX(Current!$K$7:$K$56,MATCH($A36,Current!$A$7:$A$56,0)),""),"")</f>
        <v/>
      </c>
      <c r="X36" s="14" t="str">
        <f>IF(F36=1,IFERROR(INDEX(Proposed!$L$7:$L$56,MATCH($A36,Proposed!$A$7:$A$56,0)),""),"")</f>
        <v/>
      </c>
      <c r="Y36" s="14" t="str">
        <f t="shared" si="6"/>
        <v/>
      </c>
      <c r="Z36" s="14" t="str">
        <f>IF(F36=1,IFERROR(INDEX(Proposed!$F$7:$F$56,MATCH($A36,Proposed!$A$7:$A$56,0)),""),"")</f>
        <v/>
      </c>
      <c r="AA36" s="14">
        <f>IF(M36=1,IF(IF(L36=1,AL36,P36)&gt;0,IF(L36=1,AL36,P36)*IFERROR(INDEX('Review &amp; Decision'!$J$7:$J$56,MATCH($A36,'Review &amp; Decision'!$A$7:$A$56,0)),""),IF(L36=1,AL36,P36)),0)</f>
        <v>0</v>
      </c>
      <c r="AB36" s="14">
        <f>IF(M36=1,IF(IF(L36=1,AM36,S36)&gt;0,IF(L36=1,AM36,S36)*IFERROR(INDEX('Review &amp; Decision'!$K$7:$K$56,MATCH($A36,'Review &amp; Decision'!$A$7:$A$56,0)),""),IF(L36=1,AM36,S36)),0)</f>
        <v>0</v>
      </c>
      <c r="AC36" s="14">
        <f t="shared" si="7"/>
        <v>0</v>
      </c>
      <c r="AD36" s="14">
        <f t="shared" si="8"/>
        <v>0</v>
      </c>
      <c r="AE36" s="14">
        <f t="shared" si="9"/>
        <v>0</v>
      </c>
      <c r="AF36" s="14" t="str">
        <f t="shared" si="10"/>
        <v>No measurement warning</v>
      </c>
      <c r="AG36" s="14">
        <f>IF(AND(COUNTIF(Cases!$A$7:$A$56,$A36)=1,COUNTIF(Current!$A$7:$A$56,$A36)=1,COUNTIF(Proposed!$A$7:$A$56,$A36)=1,COUNTIF('Review &amp; Decision'!$A$7:$A$56,$A36)=1,COUNTIF('Challenge Review'!$A$7:$A$56,$A36)=1,COUNTIF(Actuals!$A$7:$A$56,$A36)=1,COUNTIF(Classification!$A$7:$A$56,$A36)=1),1,0)</f>
        <v>1</v>
      </c>
      <c r="AH36" s="14">
        <f t="shared" si="11"/>
        <v>0</v>
      </c>
      <c r="AI36" s="14" t="str">
        <f>IF(COUNTIFS('Review &amp; Decision'!$A$7:$A$56,$A36,'Review &amp; Decision'!$H$7:$H$56,"&lt;&gt;")=1,IFERROR(INDEX('Review &amp; Decision'!$H$7:$H$56,MATCH($A36,'Review &amp; Decision'!$A$7:$A$56,0)),""),"")</f>
        <v/>
      </c>
      <c r="AJ36" s="14" t="str">
        <f>IF(COUNTIFS('Review &amp; Decision'!$A$7:$A$56,$A36,'Review &amp; Decision'!$E$7:$E$56,"&lt;&gt;")=1,IFERROR(INDEX('Review &amp; Decision'!$E$7:$E$56,MATCH($A36,'Review &amp; Decision'!$A$7:$A$56,0)),""),"")</f>
        <v/>
      </c>
      <c r="AK36" s="14" t="str">
        <f>IF(COUNTIFS('Review &amp; Decision'!$A$7:$A$56,$A36,'Review &amp; Decision'!$B$7:$B$56,"&lt;&gt;")=1,IFERROR(INDEX('Review &amp; Decision'!$B$7:$B$56,MATCH($A36,'Review &amp; Decision'!$A$7:$A$56,0)),""),"")</f>
        <v/>
      </c>
      <c r="AL36" s="14" t="str">
        <f>IF(I36=1,IFERROR(INDEX(Actuals!$E$7:$E$56,MATCH($A36,Actuals!$A$7:$A$56,0)),""),"")</f>
        <v/>
      </c>
      <c r="AM36" s="14" t="str">
        <f>IF(I36=1,IFERROR(INDEX(Actuals!$F$7:$F$56,MATCH($A36,Actuals!$A$7:$A$56,0)),""),"")</f>
        <v/>
      </c>
      <c r="AN36" s="14" t="str">
        <f>IF(I36=1,IFERROR(INDEX(Actuals!$G$7:$G$56,MATCH($A36,Actuals!$A$7:$A$56,0)),""),"")</f>
        <v/>
      </c>
      <c r="AO36" s="14" t="str">
        <f>IF(I36=1,IFERROR(INDEX(Actuals!$G$7:$G$56,MATCH($A36,Actuals!$A$7:$A$56,0)),"")+IFERROR(INDEX(Actuals!$H$7:$H$56,MATCH($A36,Actuals!$A$7:$A$56,0)),""),"")</f>
        <v/>
      </c>
      <c r="AP36" s="14" t="str">
        <f>IF(COUNTIFS(Cases!$A$7:$A$56,$A36,Cases!$G$7:$G$56,"&lt;&gt;")=1,IFERROR(INDEX(Cases!$G$7:$G$56,MATCH($A36,Cases!$A$7:$A$56,0)),""),"")</f>
        <v/>
      </c>
    </row>
    <row r="37" spans="1:42" ht="43.9" customHeight="1">
      <c r="A37" s="14" t="s">
        <v>128</v>
      </c>
      <c r="B37" s="14" t="str">
        <f>IF(COUNTIFS(Cases!$A$7:$A$56,$A37,Cases!$B$7:$B$56,"&lt;&gt;")=1,IFERROR(INDEX(Cases!$B$7:$B$56,MATCH($A37,Cases!$A$7:$A$56,0)),""),"")</f>
        <v>Inactive</v>
      </c>
      <c r="C37" s="14" t="str">
        <f>IF(COUNTIFS(Cases!$A$7:$A$56,$A37,Cases!$C$7:$C$56,"&lt;&gt;")=1,IFERROR(INDEX(Cases!$C$7:$C$56,MATCH($A37,Cases!$A$7:$A$56,0)),""),"")</f>
        <v/>
      </c>
      <c r="D37" s="14">
        <f>IF(AND(AG37=1,OR(B37="Example",B37="Live"),OR(AP37="Simplify",AP37="Replace",AP37="Reduce scope",AP37="Retire",AP37="Retain"),COUNTIFS(Cases!$A$7:$A$56,$A37,Cases!$C$7:$C$56,"&lt;&gt;")=1,COUNTIFS(Cases!$A$7:$A$56,$A37,Cases!$D$7:$D$56,"&lt;&gt;")=1,COUNTIFS(Cases!$A$7:$A$56,$A37,Cases!$E$7:$E$56,"&lt;&gt;")=1,COUNTIFS(Cases!$A$7:$A$56,$A37,Cases!$F$7:$F$56,"&lt;&gt;")=1,COUNTIFS(Cases!$A$7:$A$56,$A37,Cases!$H$7:$H$56,"&lt;&gt;")=1,COUNTIFS(Cases!$A$7:$A$56,$A37,Cases!$I$7:$I$56,"&lt;&gt;")=1,LEN(TRIM(IF(COUNTIFS(Cases!$A$7:$A$56,$A37,Cases!$C$7:$C$56,"&lt;&gt;")=1,IFERROR(INDEX(Cases!$C$7:$C$56,MATCH($A37,Cases!$A$7:$A$56,0)),""),"")))&gt;0,LEN(TRIM(IF(COUNTIFS(Cases!$A$7:$A$56,$A37,Cases!$D$7:$D$56,"&lt;&gt;")=1,IFERROR(INDEX(Cases!$D$7:$D$56,MATCH($A37,Cases!$A$7:$A$56,0)),""),"")))&gt;0,LEN(TRIM(IF(COUNTIFS(Cases!$A$7:$A$56,$A37,Cases!$E$7:$E$56,"&lt;&gt;")=1,IFERROR(INDEX(Cases!$E$7:$E$56,MATCH($A37,Cases!$A$7:$A$56,0)),""),"")))&gt;0,LEN(TRIM(IF(COUNTIFS(Cases!$A$7:$A$56,$A37,Cases!$F$7:$F$56,"&lt;&gt;")=1,IFERROR(INDEX(Cases!$F$7:$F$56,MATCH($A37,Cases!$A$7:$A$56,0)),""),"")))&gt;0,LEN(TRIM(IF(COUNTIFS(Cases!$A$7:$A$56,$A37,Cases!$H$7:$H$56,"&lt;&gt;")=1,IFERROR(INDEX(Cases!$H$7:$H$56,MATCH($A37,Cases!$A$7:$A$56,0)),""),"")))&gt;0,LEN(TRIM(IF(COUNTIFS(Cases!$A$7:$A$56,$A37,Cases!$I$7:$I$56,"&lt;&gt;")=1,IFERROR(INDEX(Cases!$I$7:$I$56,MATCH($A37,Cases!$A$7:$A$56,0)),""),"")))&gt;0),1,0)</f>
        <v>0</v>
      </c>
      <c r="E37" s="14">
        <f>IF(AND(AG37=1,IFERROR(INDEX(Current!$G$7:$G$56,MATCH($A37,Current!$A$7:$A$56,0)),"")="Ready"),1,0)</f>
        <v>0</v>
      </c>
      <c r="F37" s="14">
        <f>IF(AND(AG37=1,IFERROR(INDEX(Proposed!$H$7:$H$56,MATCH($A37,Proposed!$A$7:$A$56,0)),"")="Ready",OR(AP37&lt;&gt;"Retain",AND(IFERROR(INDEX(Current!$B$7:$B$56,MATCH($A37,Current!$A$7:$A$56,0)),"")=IFERROR(INDEX(Proposed!$B$7:$B$56,MATCH($A37,Proposed!$A$7:$A$56,0)),""),IFERROR(INDEX(Current!$C$7:$C$56,MATCH($A37,Current!$A$7:$A$56,0)),"")=IFERROR(INDEX(Proposed!$C$7:$C$56,MATCH($A37,Proposed!$A$7:$A$56,0)),""),IFERROR(INDEX(Current!$D$7:$D$56,MATCH($A37,Current!$A$7:$A$56,0)),"")=IFERROR(INDEX(Proposed!$D$7:$D$56,MATCH($A37,Proposed!$A$7:$A$56,0)),""),IFERROR(INDEX(Current!$E$7:$E$56,MATCH($A37,Current!$A$7:$A$56,0)),"")=IFERROR(INDEX(Proposed!$E$7:$E$56,MATCH($A37,Proposed!$A$7:$A$56,0)),"")))),1,0)</f>
        <v>0</v>
      </c>
      <c r="G37" s="14" t="str">
        <f>IF(COUNTIFS('Challenge Review'!$A$7:$A$56,$A37,'Challenge Review'!$K$7:$K$56,"&lt;&gt;")=1,IFERROR(INDEX('Challenge Review'!$K$7:$K$56,MATCH($A37,'Challenge Review'!$A$7:$A$56,0)),""),"")</f>
        <v>Unchecked</v>
      </c>
      <c r="H37" s="14">
        <f>IF(AND(AG37=1,IFERROR(INDEX('Review &amp; Decision'!$B$7:$B$56,MATCH($A37,'Review &amp; Decision'!$A$7:$A$56,0)),"")="Evidence-backed",OR(IFERROR(INDEX('Review &amp; Decision'!$C$7:$C$56,MATCH($A37,'Review &amp; Decision'!$A$7:$A$56,0)),"")="Equivalent or better",AND(IFERROR(INDEX('Review &amp; Decision'!$C$7:$C$56,MATCH($A37,'Review &amp; Decision'!$A$7:$A$56,0)),"")="Accepted reduction",COUNTIFS('Review &amp; Decision'!$A$7:$A$56,$A37,'Review &amp; Decision'!$L$7:$L$56,"&lt;&gt;")=1)),COUNTIFS('Review &amp; Decision'!$A$7:$A$56,$A37,'Review &amp; Decision'!$D$7:$D$56,"&lt;&gt;")=1,COUNTIFS('Review &amp; Decision'!$A$7:$A$56,$A37,'Review &amp; Decision'!$F$7:$F$56,"&lt;&gt;")=1,OR(IFERROR(INDEX('Review &amp; Decision'!$E$7:$E$56,MATCH($A37,'Review &amp; Decision'!$A$7:$A$56,0)),"")="Approved",IFERROR(INDEX('Review &amp; Decision'!$E$7:$E$56,MATCH($A37,'Review &amp; Decision'!$A$7:$A$56,0)),"")="Implemented"),ISNUMBER(IFERROR(INDEX('Review &amp; Decision'!$G$7:$G$56,MATCH($A37,'Review &amp; Decision'!$A$7:$A$56,0)),"")),IFERROR(INDEX('Review &amp; Decision'!$G$7:$G$56,MATCH($A37,'Review &amp; Decision'!$A$7:$A$56,0)),"")&gt;0,IFERROR(INDEX('Review &amp; Decision'!$G$7:$G$56,MATCH($A37,'Review &amp; Decision'!$A$7:$A$56,0)),"")&lt;=Settings!$B$7,ISNUMBER(IFERROR(INDEX('Review &amp; Decision'!$I$7:$I$56,MATCH($A37,'Review &amp; Decision'!$A$7:$A$56,0)),"")),IFERROR(INDEX('Review &amp; Decision'!$I$7:$I$56,MATCH($A37,'Review &amp; Decision'!$A$7:$A$56,0)),"")&gt;0,IFERROR(INDEX('Review &amp; Decision'!$I$7:$I$56,MATCH($A37,'Review &amp; Decision'!$A$7:$A$56,0)),"")&lt;=Settings!$B$7,IFERROR(INDEX('Review &amp; Decision'!$I$7:$I$56,MATCH($A37,'Review &amp; Decision'!$A$7:$A$56,0)),"")&gt;=IFERROR(INDEX('Review &amp; Decision'!$G$7:$G$56,MATCH($A37,'Review &amp; Decision'!$A$7:$A$56,0)),""),COUNTIFS('Review &amp; Decision'!$A$7:$A$56,$A37,'Review &amp; Decision'!$J$7:$J$56,"&lt;&gt;")=1,COUNTIFS('Review &amp; Decision'!$A$7:$A$56,$A37,'Review &amp; Decision'!$K$7:$K$56,"&lt;&gt;")=1,ISNUMBER(IFERROR(INDEX('Review &amp; Decision'!$J$7:$J$56,MATCH($A37,'Review &amp; Decision'!$A$7:$A$56,0)),"")),IFERROR(INDEX('Review &amp; Decision'!$J$7:$J$56,MATCH($A37,'Review &amp; Decision'!$A$7:$A$56,0)),"")&gt;=0,IFERROR(INDEX('Review &amp; Decision'!$J$7:$J$56,MATCH($A37,'Review &amp; Decision'!$A$7:$A$56,0)),"")&lt;=1,ISNUMBER(IFERROR(INDEX('Review &amp; Decision'!$K$7:$K$56,MATCH($A37,'Review &amp; Decision'!$A$7:$A$56,0)),"")),IFERROR(INDEX('Review &amp; Decision'!$K$7:$K$56,MATCH($A37,'Review &amp; Decision'!$A$7:$A$56,0)),"")&gt;=0,IFERROR(INDEX('Review &amp; Decision'!$K$7:$K$56,MATCH($A37,'Review &amp; Decision'!$A$7:$A$56,0)),"")&lt;=1,ISNUMBER(Settings!$B$7),Settings!$B$7&gt;0,OR(Settings!$B$8="Approved + measured",Settings!$B$8="Measured only"),LEN(TRIM(IF(COUNTIFS('Review &amp; Decision'!$A$7:$A$56,$A37,'Review &amp; Decision'!$D$7:$D$56,"&lt;&gt;")=1,IFERROR(INDEX('Review &amp; Decision'!$D$7:$D$56,MATCH($A37,'Review &amp; Decision'!$A$7:$A$56,0)),""),"")))&gt;0,LEN(TRIM(IF(COUNTIFS('Review &amp; Decision'!$A$7:$A$56,$A37,'Review &amp; Decision'!$F$7:$F$56,"&lt;&gt;")=1,IFERROR(INDEX('Review &amp; Decision'!$F$7:$F$56,MATCH($A37,'Review &amp; Decision'!$A$7:$A$56,0)),""),"")))&gt;0,OR(IFERROR(INDEX('Review &amp; Decision'!$C$7:$C$56,MATCH($A37,'Review &amp; Decision'!$A$7:$A$56,0)),"")&lt;&gt;"Accepted reduction",LEN(TRIM(IF(COUNTIFS('Review &amp; Decision'!$A$7:$A$56,$A37,'Review &amp; Decision'!$L$7:$L$56,"&lt;&gt;")=1,IFERROR(INDEX('Review &amp; Decision'!$L$7:$L$56,MATCH($A37,'Review &amp; Decision'!$A$7:$A$56,0)),""),"")))&gt;0)),1,0)</f>
        <v>0</v>
      </c>
      <c r="I37" s="14">
        <f>IF(AND(AG37=1,IFERROR(INDEX(Actuals!$M$7:$M$56,MATCH($A37,Actuals!$A$7:$A$56,0)),"")="Ready",IFERROR(INDEX(Actuals!$D$7:$D$56,MATCH($A37,Actuals!$A$7:$A$56,0)),"")&gt;=IFERROR(INDEX('Review &amp; Decision'!$I$7:$I$56,MATCH($A37,'Review &amp; Decision'!$A$7:$A$56,0)),"")),1,0)</f>
        <v>0</v>
      </c>
      <c r="J37" s="14" t="str">
        <f t="shared" si="0"/>
        <v>Unused slot</v>
      </c>
      <c r="K37" s="14">
        <f t="shared" si="1"/>
        <v>0</v>
      </c>
      <c r="L37" s="14">
        <f t="shared" si="2"/>
        <v>0</v>
      </c>
      <c r="M37" s="14">
        <f>IF(OR(L37=1,AND(K37=1,Settings!$B$8="Approved + measured")),1,0)</f>
        <v>0</v>
      </c>
      <c r="N37" s="14" t="str">
        <f>IF(E37=1,IFERROR(INDEX(Current!$H$7:$H$56,MATCH($A37,Current!$A$7:$A$56,0)),""),"")</f>
        <v/>
      </c>
      <c r="O37" s="14" t="str">
        <f>IF(F37=1,IFERROR(INDEX(Proposed!$I$7:$I$56,MATCH($A37,Proposed!$A$7:$A$56,0)),""),"")</f>
        <v/>
      </c>
      <c r="P37" s="14" t="str">
        <f t="shared" si="3"/>
        <v/>
      </c>
      <c r="Q37" s="14" t="str">
        <f>IF(E37=1,IFERROR(INDEX(Current!$I$7:$I$56,MATCH($A37,Current!$A$7:$A$56,0)),""),"")</f>
        <v/>
      </c>
      <c r="R37" s="14" t="str">
        <f>IF(F37=1,IFERROR(INDEX(Proposed!$J$7:$J$56,MATCH($A37,Proposed!$A$7:$A$56,0)),""),"")</f>
        <v/>
      </c>
      <c r="S37" s="14" t="str">
        <f t="shared" si="4"/>
        <v/>
      </c>
      <c r="T37" s="14" t="str">
        <f>IF(E37=1,IFERROR(INDEX(Current!$E$7:$E$56,MATCH($A37,Current!$A$7:$A$56,0)),""),"")</f>
        <v/>
      </c>
      <c r="U37" s="14" t="str">
        <f>IF(F37=1,IFERROR(INDEX(Proposed!$E$7:$E$56,MATCH($A37,Proposed!$A$7:$A$56,0)),""),"")</f>
        <v/>
      </c>
      <c r="V37" s="14" t="str">
        <f t="shared" si="5"/>
        <v/>
      </c>
      <c r="W37" s="14" t="str">
        <f>IF(E37=1,IFERROR(INDEX(Current!$K$7:$K$56,MATCH($A37,Current!$A$7:$A$56,0)),""),"")</f>
        <v/>
      </c>
      <c r="X37" s="14" t="str">
        <f>IF(F37=1,IFERROR(INDEX(Proposed!$L$7:$L$56,MATCH($A37,Proposed!$A$7:$A$56,0)),""),"")</f>
        <v/>
      </c>
      <c r="Y37" s="14" t="str">
        <f t="shared" si="6"/>
        <v/>
      </c>
      <c r="Z37" s="14" t="str">
        <f>IF(F37=1,IFERROR(INDEX(Proposed!$F$7:$F$56,MATCH($A37,Proposed!$A$7:$A$56,0)),""),"")</f>
        <v/>
      </c>
      <c r="AA37" s="14">
        <f>IF(M37=1,IF(IF(L37=1,AL37,P37)&gt;0,IF(L37=1,AL37,P37)*IFERROR(INDEX('Review &amp; Decision'!$J$7:$J$56,MATCH($A37,'Review &amp; Decision'!$A$7:$A$56,0)),""),IF(L37=1,AL37,P37)),0)</f>
        <v>0</v>
      </c>
      <c r="AB37" s="14">
        <f>IF(M37=1,IF(IF(L37=1,AM37,S37)&gt;0,IF(L37=1,AM37,S37)*IFERROR(INDEX('Review &amp; Decision'!$K$7:$K$56,MATCH($A37,'Review &amp; Decision'!$A$7:$A$56,0)),""),IF(L37=1,AM37,S37)),0)</f>
        <v>0</v>
      </c>
      <c r="AC37" s="14">
        <f t="shared" si="7"/>
        <v>0</v>
      </c>
      <c r="AD37" s="14">
        <f t="shared" si="8"/>
        <v>0</v>
      </c>
      <c r="AE37" s="14">
        <f t="shared" si="9"/>
        <v>0</v>
      </c>
      <c r="AF37" s="14" t="str">
        <f t="shared" si="10"/>
        <v>No measurement warning</v>
      </c>
      <c r="AG37" s="14">
        <f>IF(AND(COUNTIF(Cases!$A$7:$A$56,$A37)=1,COUNTIF(Current!$A$7:$A$56,$A37)=1,COUNTIF(Proposed!$A$7:$A$56,$A37)=1,COUNTIF('Review &amp; Decision'!$A$7:$A$56,$A37)=1,COUNTIF('Challenge Review'!$A$7:$A$56,$A37)=1,COUNTIF(Actuals!$A$7:$A$56,$A37)=1,COUNTIF(Classification!$A$7:$A$56,$A37)=1),1,0)</f>
        <v>1</v>
      </c>
      <c r="AH37" s="14">
        <f t="shared" si="11"/>
        <v>0</v>
      </c>
      <c r="AI37" s="14" t="str">
        <f>IF(COUNTIFS('Review &amp; Decision'!$A$7:$A$56,$A37,'Review &amp; Decision'!$H$7:$H$56,"&lt;&gt;")=1,IFERROR(INDEX('Review &amp; Decision'!$H$7:$H$56,MATCH($A37,'Review &amp; Decision'!$A$7:$A$56,0)),""),"")</f>
        <v/>
      </c>
      <c r="AJ37" s="14" t="str">
        <f>IF(COUNTIFS('Review &amp; Decision'!$A$7:$A$56,$A37,'Review &amp; Decision'!$E$7:$E$56,"&lt;&gt;")=1,IFERROR(INDEX('Review &amp; Decision'!$E$7:$E$56,MATCH($A37,'Review &amp; Decision'!$A$7:$A$56,0)),""),"")</f>
        <v/>
      </c>
      <c r="AK37" s="14" t="str">
        <f>IF(COUNTIFS('Review &amp; Decision'!$A$7:$A$56,$A37,'Review &amp; Decision'!$B$7:$B$56,"&lt;&gt;")=1,IFERROR(INDEX('Review &amp; Decision'!$B$7:$B$56,MATCH($A37,'Review &amp; Decision'!$A$7:$A$56,0)),""),"")</f>
        <v/>
      </c>
      <c r="AL37" s="14" t="str">
        <f>IF(I37=1,IFERROR(INDEX(Actuals!$E$7:$E$56,MATCH($A37,Actuals!$A$7:$A$56,0)),""),"")</f>
        <v/>
      </c>
      <c r="AM37" s="14" t="str">
        <f>IF(I37=1,IFERROR(INDEX(Actuals!$F$7:$F$56,MATCH($A37,Actuals!$A$7:$A$56,0)),""),"")</f>
        <v/>
      </c>
      <c r="AN37" s="14" t="str">
        <f>IF(I37=1,IFERROR(INDEX(Actuals!$G$7:$G$56,MATCH($A37,Actuals!$A$7:$A$56,0)),""),"")</f>
        <v/>
      </c>
      <c r="AO37" s="14" t="str">
        <f>IF(I37=1,IFERROR(INDEX(Actuals!$G$7:$G$56,MATCH($A37,Actuals!$A$7:$A$56,0)),"")+IFERROR(INDEX(Actuals!$H$7:$H$56,MATCH($A37,Actuals!$A$7:$A$56,0)),""),"")</f>
        <v/>
      </c>
      <c r="AP37" s="14" t="str">
        <f>IF(COUNTIFS(Cases!$A$7:$A$56,$A37,Cases!$G$7:$G$56,"&lt;&gt;")=1,IFERROR(INDEX(Cases!$G$7:$G$56,MATCH($A37,Cases!$A$7:$A$56,0)),""),"")</f>
        <v/>
      </c>
    </row>
    <row r="38" spans="1:42" ht="43.9" customHeight="1">
      <c r="A38" s="14" t="s">
        <v>129</v>
      </c>
      <c r="B38" s="14" t="str">
        <f>IF(COUNTIFS(Cases!$A$7:$A$56,$A38,Cases!$B$7:$B$56,"&lt;&gt;")=1,IFERROR(INDEX(Cases!$B$7:$B$56,MATCH($A38,Cases!$A$7:$A$56,0)),""),"")</f>
        <v>Inactive</v>
      </c>
      <c r="C38" s="14" t="str">
        <f>IF(COUNTIFS(Cases!$A$7:$A$56,$A38,Cases!$C$7:$C$56,"&lt;&gt;")=1,IFERROR(INDEX(Cases!$C$7:$C$56,MATCH($A38,Cases!$A$7:$A$56,0)),""),"")</f>
        <v/>
      </c>
      <c r="D38" s="14">
        <f>IF(AND(AG38=1,OR(B38="Example",B38="Live"),OR(AP38="Simplify",AP38="Replace",AP38="Reduce scope",AP38="Retire",AP38="Retain"),COUNTIFS(Cases!$A$7:$A$56,$A38,Cases!$C$7:$C$56,"&lt;&gt;")=1,COUNTIFS(Cases!$A$7:$A$56,$A38,Cases!$D$7:$D$56,"&lt;&gt;")=1,COUNTIFS(Cases!$A$7:$A$56,$A38,Cases!$E$7:$E$56,"&lt;&gt;")=1,COUNTIFS(Cases!$A$7:$A$56,$A38,Cases!$F$7:$F$56,"&lt;&gt;")=1,COUNTIFS(Cases!$A$7:$A$56,$A38,Cases!$H$7:$H$56,"&lt;&gt;")=1,COUNTIFS(Cases!$A$7:$A$56,$A38,Cases!$I$7:$I$56,"&lt;&gt;")=1,LEN(TRIM(IF(COUNTIFS(Cases!$A$7:$A$56,$A38,Cases!$C$7:$C$56,"&lt;&gt;")=1,IFERROR(INDEX(Cases!$C$7:$C$56,MATCH($A38,Cases!$A$7:$A$56,0)),""),"")))&gt;0,LEN(TRIM(IF(COUNTIFS(Cases!$A$7:$A$56,$A38,Cases!$D$7:$D$56,"&lt;&gt;")=1,IFERROR(INDEX(Cases!$D$7:$D$56,MATCH($A38,Cases!$A$7:$A$56,0)),""),"")))&gt;0,LEN(TRIM(IF(COUNTIFS(Cases!$A$7:$A$56,$A38,Cases!$E$7:$E$56,"&lt;&gt;")=1,IFERROR(INDEX(Cases!$E$7:$E$56,MATCH($A38,Cases!$A$7:$A$56,0)),""),"")))&gt;0,LEN(TRIM(IF(COUNTIFS(Cases!$A$7:$A$56,$A38,Cases!$F$7:$F$56,"&lt;&gt;")=1,IFERROR(INDEX(Cases!$F$7:$F$56,MATCH($A38,Cases!$A$7:$A$56,0)),""),"")))&gt;0,LEN(TRIM(IF(COUNTIFS(Cases!$A$7:$A$56,$A38,Cases!$H$7:$H$56,"&lt;&gt;")=1,IFERROR(INDEX(Cases!$H$7:$H$56,MATCH($A38,Cases!$A$7:$A$56,0)),""),"")))&gt;0,LEN(TRIM(IF(COUNTIFS(Cases!$A$7:$A$56,$A38,Cases!$I$7:$I$56,"&lt;&gt;")=1,IFERROR(INDEX(Cases!$I$7:$I$56,MATCH($A38,Cases!$A$7:$A$56,0)),""),"")))&gt;0),1,0)</f>
        <v>0</v>
      </c>
      <c r="E38" s="14">
        <f>IF(AND(AG38=1,IFERROR(INDEX(Current!$G$7:$G$56,MATCH($A38,Current!$A$7:$A$56,0)),"")="Ready"),1,0)</f>
        <v>0</v>
      </c>
      <c r="F38" s="14">
        <f>IF(AND(AG38=1,IFERROR(INDEX(Proposed!$H$7:$H$56,MATCH($A38,Proposed!$A$7:$A$56,0)),"")="Ready",OR(AP38&lt;&gt;"Retain",AND(IFERROR(INDEX(Current!$B$7:$B$56,MATCH($A38,Current!$A$7:$A$56,0)),"")=IFERROR(INDEX(Proposed!$B$7:$B$56,MATCH($A38,Proposed!$A$7:$A$56,0)),""),IFERROR(INDEX(Current!$C$7:$C$56,MATCH($A38,Current!$A$7:$A$56,0)),"")=IFERROR(INDEX(Proposed!$C$7:$C$56,MATCH($A38,Proposed!$A$7:$A$56,0)),""),IFERROR(INDEX(Current!$D$7:$D$56,MATCH($A38,Current!$A$7:$A$56,0)),"")=IFERROR(INDEX(Proposed!$D$7:$D$56,MATCH($A38,Proposed!$A$7:$A$56,0)),""),IFERROR(INDEX(Current!$E$7:$E$56,MATCH($A38,Current!$A$7:$A$56,0)),"")=IFERROR(INDEX(Proposed!$E$7:$E$56,MATCH($A38,Proposed!$A$7:$A$56,0)),"")))),1,0)</f>
        <v>0</v>
      </c>
      <c r="G38" s="14" t="str">
        <f>IF(COUNTIFS('Challenge Review'!$A$7:$A$56,$A38,'Challenge Review'!$K$7:$K$56,"&lt;&gt;")=1,IFERROR(INDEX('Challenge Review'!$K$7:$K$56,MATCH($A38,'Challenge Review'!$A$7:$A$56,0)),""),"")</f>
        <v>Unchecked</v>
      </c>
      <c r="H38" s="14">
        <f>IF(AND(AG38=1,IFERROR(INDEX('Review &amp; Decision'!$B$7:$B$56,MATCH($A38,'Review &amp; Decision'!$A$7:$A$56,0)),"")="Evidence-backed",OR(IFERROR(INDEX('Review &amp; Decision'!$C$7:$C$56,MATCH($A38,'Review &amp; Decision'!$A$7:$A$56,0)),"")="Equivalent or better",AND(IFERROR(INDEX('Review &amp; Decision'!$C$7:$C$56,MATCH($A38,'Review &amp; Decision'!$A$7:$A$56,0)),"")="Accepted reduction",COUNTIFS('Review &amp; Decision'!$A$7:$A$56,$A38,'Review &amp; Decision'!$L$7:$L$56,"&lt;&gt;")=1)),COUNTIFS('Review &amp; Decision'!$A$7:$A$56,$A38,'Review &amp; Decision'!$D$7:$D$56,"&lt;&gt;")=1,COUNTIFS('Review &amp; Decision'!$A$7:$A$56,$A38,'Review &amp; Decision'!$F$7:$F$56,"&lt;&gt;")=1,OR(IFERROR(INDEX('Review &amp; Decision'!$E$7:$E$56,MATCH($A38,'Review &amp; Decision'!$A$7:$A$56,0)),"")="Approved",IFERROR(INDEX('Review &amp; Decision'!$E$7:$E$56,MATCH($A38,'Review &amp; Decision'!$A$7:$A$56,0)),"")="Implemented"),ISNUMBER(IFERROR(INDEX('Review &amp; Decision'!$G$7:$G$56,MATCH($A38,'Review &amp; Decision'!$A$7:$A$56,0)),"")),IFERROR(INDEX('Review &amp; Decision'!$G$7:$G$56,MATCH($A38,'Review &amp; Decision'!$A$7:$A$56,0)),"")&gt;0,IFERROR(INDEX('Review &amp; Decision'!$G$7:$G$56,MATCH($A38,'Review &amp; Decision'!$A$7:$A$56,0)),"")&lt;=Settings!$B$7,ISNUMBER(IFERROR(INDEX('Review &amp; Decision'!$I$7:$I$56,MATCH($A38,'Review &amp; Decision'!$A$7:$A$56,0)),"")),IFERROR(INDEX('Review &amp; Decision'!$I$7:$I$56,MATCH($A38,'Review &amp; Decision'!$A$7:$A$56,0)),"")&gt;0,IFERROR(INDEX('Review &amp; Decision'!$I$7:$I$56,MATCH($A38,'Review &amp; Decision'!$A$7:$A$56,0)),"")&lt;=Settings!$B$7,IFERROR(INDEX('Review &amp; Decision'!$I$7:$I$56,MATCH($A38,'Review &amp; Decision'!$A$7:$A$56,0)),"")&gt;=IFERROR(INDEX('Review &amp; Decision'!$G$7:$G$56,MATCH($A38,'Review &amp; Decision'!$A$7:$A$56,0)),""),COUNTIFS('Review &amp; Decision'!$A$7:$A$56,$A38,'Review &amp; Decision'!$J$7:$J$56,"&lt;&gt;")=1,COUNTIFS('Review &amp; Decision'!$A$7:$A$56,$A38,'Review &amp; Decision'!$K$7:$K$56,"&lt;&gt;")=1,ISNUMBER(IFERROR(INDEX('Review &amp; Decision'!$J$7:$J$56,MATCH($A38,'Review &amp; Decision'!$A$7:$A$56,0)),"")),IFERROR(INDEX('Review &amp; Decision'!$J$7:$J$56,MATCH($A38,'Review &amp; Decision'!$A$7:$A$56,0)),"")&gt;=0,IFERROR(INDEX('Review &amp; Decision'!$J$7:$J$56,MATCH($A38,'Review &amp; Decision'!$A$7:$A$56,0)),"")&lt;=1,ISNUMBER(IFERROR(INDEX('Review &amp; Decision'!$K$7:$K$56,MATCH($A38,'Review &amp; Decision'!$A$7:$A$56,0)),"")),IFERROR(INDEX('Review &amp; Decision'!$K$7:$K$56,MATCH($A38,'Review &amp; Decision'!$A$7:$A$56,0)),"")&gt;=0,IFERROR(INDEX('Review &amp; Decision'!$K$7:$K$56,MATCH($A38,'Review &amp; Decision'!$A$7:$A$56,0)),"")&lt;=1,ISNUMBER(Settings!$B$7),Settings!$B$7&gt;0,OR(Settings!$B$8="Approved + measured",Settings!$B$8="Measured only"),LEN(TRIM(IF(COUNTIFS('Review &amp; Decision'!$A$7:$A$56,$A38,'Review &amp; Decision'!$D$7:$D$56,"&lt;&gt;")=1,IFERROR(INDEX('Review &amp; Decision'!$D$7:$D$56,MATCH($A38,'Review &amp; Decision'!$A$7:$A$56,0)),""),"")))&gt;0,LEN(TRIM(IF(COUNTIFS('Review &amp; Decision'!$A$7:$A$56,$A38,'Review &amp; Decision'!$F$7:$F$56,"&lt;&gt;")=1,IFERROR(INDEX('Review &amp; Decision'!$F$7:$F$56,MATCH($A38,'Review &amp; Decision'!$A$7:$A$56,0)),""),"")))&gt;0,OR(IFERROR(INDEX('Review &amp; Decision'!$C$7:$C$56,MATCH($A38,'Review &amp; Decision'!$A$7:$A$56,0)),"")&lt;&gt;"Accepted reduction",LEN(TRIM(IF(COUNTIFS('Review &amp; Decision'!$A$7:$A$56,$A38,'Review &amp; Decision'!$L$7:$L$56,"&lt;&gt;")=1,IFERROR(INDEX('Review &amp; Decision'!$L$7:$L$56,MATCH($A38,'Review &amp; Decision'!$A$7:$A$56,0)),""),"")))&gt;0)),1,0)</f>
        <v>0</v>
      </c>
      <c r="I38" s="14">
        <f>IF(AND(AG38=1,IFERROR(INDEX(Actuals!$M$7:$M$56,MATCH($A38,Actuals!$A$7:$A$56,0)),"")="Ready",IFERROR(INDEX(Actuals!$D$7:$D$56,MATCH($A38,Actuals!$A$7:$A$56,0)),"")&gt;=IFERROR(INDEX('Review &amp; Decision'!$I$7:$I$56,MATCH($A38,'Review &amp; Decision'!$A$7:$A$56,0)),"")),1,0)</f>
        <v>0</v>
      </c>
      <c r="J38" s="14" t="str">
        <f t="shared" si="0"/>
        <v>Unused slot</v>
      </c>
      <c r="K38" s="14">
        <f t="shared" si="1"/>
        <v>0</v>
      </c>
      <c r="L38" s="14">
        <f t="shared" si="2"/>
        <v>0</v>
      </c>
      <c r="M38" s="14">
        <f>IF(OR(L38=1,AND(K38=1,Settings!$B$8="Approved + measured")),1,0)</f>
        <v>0</v>
      </c>
      <c r="N38" s="14" t="str">
        <f>IF(E38=1,IFERROR(INDEX(Current!$H$7:$H$56,MATCH($A38,Current!$A$7:$A$56,0)),""),"")</f>
        <v/>
      </c>
      <c r="O38" s="14" t="str">
        <f>IF(F38=1,IFERROR(INDEX(Proposed!$I$7:$I$56,MATCH($A38,Proposed!$A$7:$A$56,0)),""),"")</f>
        <v/>
      </c>
      <c r="P38" s="14" t="str">
        <f t="shared" si="3"/>
        <v/>
      </c>
      <c r="Q38" s="14" t="str">
        <f>IF(E38=1,IFERROR(INDEX(Current!$I$7:$I$56,MATCH($A38,Current!$A$7:$A$56,0)),""),"")</f>
        <v/>
      </c>
      <c r="R38" s="14" t="str">
        <f>IF(F38=1,IFERROR(INDEX(Proposed!$J$7:$J$56,MATCH($A38,Proposed!$A$7:$A$56,0)),""),"")</f>
        <v/>
      </c>
      <c r="S38" s="14" t="str">
        <f t="shared" si="4"/>
        <v/>
      </c>
      <c r="T38" s="14" t="str">
        <f>IF(E38=1,IFERROR(INDEX(Current!$E$7:$E$56,MATCH($A38,Current!$A$7:$A$56,0)),""),"")</f>
        <v/>
      </c>
      <c r="U38" s="14" t="str">
        <f>IF(F38=1,IFERROR(INDEX(Proposed!$E$7:$E$56,MATCH($A38,Proposed!$A$7:$A$56,0)),""),"")</f>
        <v/>
      </c>
      <c r="V38" s="14" t="str">
        <f t="shared" si="5"/>
        <v/>
      </c>
      <c r="W38" s="14" t="str">
        <f>IF(E38=1,IFERROR(INDEX(Current!$K$7:$K$56,MATCH($A38,Current!$A$7:$A$56,0)),""),"")</f>
        <v/>
      </c>
      <c r="X38" s="14" t="str">
        <f>IF(F38=1,IFERROR(INDEX(Proposed!$L$7:$L$56,MATCH($A38,Proposed!$A$7:$A$56,0)),""),"")</f>
        <v/>
      </c>
      <c r="Y38" s="14" t="str">
        <f t="shared" si="6"/>
        <v/>
      </c>
      <c r="Z38" s="14" t="str">
        <f>IF(F38=1,IFERROR(INDEX(Proposed!$F$7:$F$56,MATCH($A38,Proposed!$A$7:$A$56,0)),""),"")</f>
        <v/>
      </c>
      <c r="AA38" s="14">
        <f>IF(M38=1,IF(IF(L38=1,AL38,P38)&gt;0,IF(L38=1,AL38,P38)*IFERROR(INDEX('Review &amp; Decision'!$J$7:$J$56,MATCH($A38,'Review &amp; Decision'!$A$7:$A$56,0)),""),IF(L38=1,AL38,P38)),0)</f>
        <v>0</v>
      </c>
      <c r="AB38" s="14">
        <f>IF(M38=1,IF(IF(L38=1,AM38,S38)&gt;0,IF(L38=1,AM38,S38)*IFERROR(INDEX('Review &amp; Decision'!$K$7:$K$56,MATCH($A38,'Review &amp; Decision'!$A$7:$A$56,0)),""),IF(L38=1,AM38,S38)),0)</f>
        <v>0</v>
      </c>
      <c r="AC38" s="14">
        <f t="shared" si="7"/>
        <v>0</v>
      </c>
      <c r="AD38" s="14">
        <f t="shared" si="8"/>
        <v>0</v>
      </c>
      <c r="AE38" s="14">
        <f t="shared" si="9"/>
        <v>0</v>
      </c>
      <c r="AF38" s="14" t="str">
        <f t="shared" si="10"/>
        <v>No measurement warning</v>
      </c>
      <c r="AG38" s="14">
        <f>IF(AND(COUNTIF(Cases!$A$7:$A$56,$A38)=1,COUNTIF(Current!$A$7:$A$56,$A38)=1,COUNTIF(Proposed!$A$7:$A$56,$A38)=1,COUNTIF('Review &amp; Decision'!$A$7:$A$56,$A38)=1,COUNTIF('Challenge Review'!$A$7:$A$56,$A38)=1,COUNTIF(Actuals!$A$7:$A$56,$A38)=1,COUNTIF(Classification!$A$7:$A$56,$A38)=1),1,0)</f>
        <v>1</v>
      </c>
      <c r="AH38" s="14">
        <f t="shared" si="11"/>
        <v>0</v>
      </c>
      <c r="AI38" s="14" t="str">
        <f>IF(COUNTIFS('Review &amp; Decision'!$A$7:$A$56,$A38,'Review &amp; Decision'!$H$7:$H$56,"&lt;&gt;")=1,IFERROR(INDEX('Review &amp; Decision'!$H$7:$H$56,MATCH($A38,'Review &amp; Decision'!$A$7:$A$56,0)),""),"")</f>
        <v/>
      </c>
      <c r="AJ38" s="14" t="str">
        <f>IF(COUNTIFS('Review &amp; Decision'!$A$7:$A$56,$A38,'Review &amp; Decision'!$E$7:$E$56,"&lt;&gt;")=1,IFERROR(INDEX('Review &amp; Decision'!$E$7:$E$56,MATCH($A38,'Review &amp; Decision'!$A$7:$A$56,0)),""),"")</f>
        <v/>
      </c>
      <c r="AK38" s="14" t="str">
        <f>IF(COUNTIFS('Review &amp; Decision'!$A$7:$A$56,$A38,'Review &amp; Decision'!$B$7:$B$56,"&lt;&gt;")=1,IFERROR(INDEX('Review &amp; Decision'!$B$7:$B$56,MATCH($A38,'Review &amp; Decision'!$A$7:$A$56,0)),""),"")</f>
        <v/>
      </c>
      <c r="AL38" s="14" t="str">
        <f>IF(I38=1,IFERROR(INDEX(Actuals!$E$7:$E$56,MATCH($A38,Actuals!$A$7:$A$56,0)),""),"")</f>
        <v/>
      </c>
      <c r="AM38" s="14" t="str">
        <f>IF(I38=1,IFERROR(INDEX(Actuals!$F$7:$F$56,MATCH($A38,Actuals!$A$7:$A$56,0)),""),"")</f>
        <v/>
      </c>
      <c r="AN38" s="14" t="str">
        <f>IF(I38=1,IFERROR(INDEX(Actuals!$G$7:$G$56,MATCH($A38,Actuals!$A$7:$A$56,0)),""),"")</f>
        <v/>
      </c>
      <c r="AO38" s="14" t="str">
        <f>IF(I38=1,IFERROR(INDEX(Actuals!$G$7:$G$56,MATCH($A38,Actuals!$A$7:$A$56,0)),"")+IFERROR(INDEX(Actuals!$H$7:$H$56,MATCH($A38,Actuals!$A$7:$A$56,0)),""),"")</f>
        <v/>
      </c>
      <c r="AP38" s="14" t="str">
        <f>IF(COUNTIFS(Cases!$A$7:$A$56,$A38,Cases!$G$7:$G$56,"&lt;&gt;")=1,IFERROR(INDEX(Cases!$G$7:$G$56,MATCH($A38,Cases!$A$7:$A$56,0)),""),"")</f>
        <v/>
      </c>
    </row>
    <row r="39" spans="1:42" ht="43.9" customHeight="1">
      <c r="A39" s="14" t="s">
        <v>130</v>
      </c>
      <c r="B39" s="14" t="str">
        <f>IF(COUNTIFS(Cases!$A$7:$A$56,$A39,Cases!$B$7:$B$56,"&lt;&gt;")=1,IFERROR(INDEX(Cases!$B$7:$B$56,MATCH($A39,Cases!$A$7:$A$56,0)),""),"")</f>
        <v>Inactive</v>
      </c>
      <c r="C39" s="14" t="str">
        <f>IF(COUNTIFS(Cases!$A$7:$A$56,$A39,Cases!$C$7:$C$56,"&lt;&gt;")=1,IFERROR(INDEX(Cases!$C$7:$C$56,MATCH($A39,Cases!$A$7:$A$56,0)),""),"")</f>
        <v/>
      </c>
      <c r="D39" s="14">
        <f>IF(AND(AG39=1,OR(B39="Example",B39="Live"),OR(AP39="Simplify",AP39="Replace",AP39="Reduce scope",AP39="Retire",AP39="Retain"),COUNTIFS(Cases!$A$7:$A$56,$A39,Cases!$C$7:$C$56,"&lt;&gt;")=1,COUNTIFS(Cases!$A$7:$A$56,$A39,Cases!$D$7:$D$56,"&lt;&gt;")=1,COUNTIFS(Cases!$A$7:$A$56,$A39,Cases!$E$7:$E$56,"&lt;&gt;")=1,COUNTIFS(Cases!$A$7:$A$56,$A39,Cases!$F$7:$F$56,"&lt;&gt;")=1,COUNTIFS(Cases!$A$7:$A$56,$A39,Cases!$H$7:$H$56,"&lt;&gt;")=1,COUNTIFS(Cases!$A$7:$A$56,$A39,Cases!$I$7:$I$56,"&lt;&gt;")=1,LEN(TRIM(IF(COUNTIFS(Cases!$A$7:$A$56,$A39,Cases!$C$7:$C$56,"&lt;&gt;")=1,IFERROR(INDEX(Cases!$C$7:$C$56,MATCH($A39,Cases!$A$7:$A$56,0)),""),"")))&gt;0,LEN(TRIM(IF(COUNTIFS(Cases!$A$7:$A$56,$A39,Cases!$D$7:$D$56,"&lt;&gt;")=1,IFERROR(INDEX(Cases!$D$7:$D$56,MATCH($A39,Cases!$A$7:$A$56,0)),""),"")))&gt;0,LEN(TRIM(IF(COUNTIFS(Cases!$A$7:$A$56,$A39,Cases!$E$7:$E$56,"&lt;&gt;")=1,IFERROR(INDEX(Cases!$E$7:$E$56,MATCH($A39,Cases!$A$7:$A$56,0)),""),"")))&gt;0,LEN(TRIM(IF(COUNTIFS(Cases!$A$7:$A$56,$A39,Cases!$F$7:$F$56,"&lt;&gt;")=1,IFERROR(INDEX(Cases!$F$7:$F$56,MATCH($A39,Cases!$A$7:$A$56,0)),""),"")))&gt;0,LEN(TRIM(IF(COUNTIFS(Cases!$A$7:$A$56,$A39,Cases!$H$7:$H$56,"&lt;&gt;")=1,IFERROR(INDEX(Cases!$H$7:$H$56,MATCH($A39,Cases!$A$7:$A$56,0)),""),"")))&gt;0,LEN(TRIM(IF(COUNTIFS(Cases!$A$7:$A$56,$A39,Cases!$I$7:$I$56,"&lt;&gt;")=1,IFERROR(INDEX(Cases!$I$7:$I$56,MATCH($A39,Cases!$A$7:$A$56,0)),""),"")))&gt;0),1,0)</f>
        <v>0</v>
      </c>
      <c r="E39" s="14">
        <f>IF(AND(AG39=1,IFERROR(INDEX(Current!$G$7:$G$56,MATCH($A39,Current!$A$7:$A$56,0)),"")="Ready"),1,0)</f>
        <v>0</v>
      </c>
      <c r="F39" s="14">
        <f>IF(AND(AG39=1,IFERROR(INDEX(Proposed!$H$7:$H$56,MATCH($A39,Proposed!$A$7:$A$56,0)),"")="Ready",OR(AP39&lt;&gt;"Retain",AND(IFERROR(INDEX(Current!$B$7:$B$56,MATCH($A39,Current!$A$7:$A$56,0)),"")=IFERROR(INDEX(Proposed!$B$7:$B$56,MATCH($A39,Proposed!$A$7:$A$56,0)),""),IFERROR(INDEX(Current!$C$7:$C$56,MATCH($A39,Current!$A$7:$A$56,0)),"")=IFERROR(INDEX(Proposed!$C$7:$C$56,MATCH($A39,Proposed!$A$7:$A$56,0)),""),IFERROR(INDEX(Current!$D$7:$D$56,MATCH($A39,Current!$A$7:$A$56,0)),"")=IFERROR(INDEX(Proposed!$D$7:$D$56,MATCH($A39,Proposed!$A$7:$A$56,0)),""),IFERROR(INDEX(Current!$E$7:$E$56,MATCH($A39,Current!$A$7:$A$56,0)),"")=IFERROR(INDEX(Proposed!$E$7:$E$56,MATCH($A39,Proposed!$A$7:$A$56,0)),"")))),1,0)</f>
        <v>0</v>
      </c>
      <c r="G39" s="14" t="str">
        <f>IF(COUNTIFS('Challenge Review'!$A$7:$A$56,$A39,'Challenge Review'!$K$7:$K$56,"&lt;&gt;")=1,IFERROR(INDEX('Challenge Review'!$K$7:$K$56,MATCH($A39,'Challenge Review'!$A$7:$A$56,0)),""),"")</f>
        <v>Unchecked</v>
      </c>
      <c r="H39" s="14">
        <f>IF(AND(AG39=1,IFERROR(INDEX('Review &amp; Decision'!$B$7:$B$56,MATCH($A39,'Review &amp; Decision'!$A$7:$A$56,0)),"")="Evidence-backed",OR(IFERROR(INDEX('Review &amp; Decision'!$C$7:$C$56,MATCH($A39,'Review &amp; Decision'!$A$7:$A$56,0)),"")="Equivalent or better",AND(IFERROR(INDEX('Review &amp; Decision'!$C$7:$C$56,MATCH($A39,'Review &amp; Decision'!$A$7:$A$56,0)),"")="Accepted reduction",COUNTIFS('Review &amp; Decision'!$A$7:$A$56,$A39,'Review &amp; Decision'!$L$7:$L$56,"&lt;&gt;")=1)),COUNTIFS('Review &amp; Decision'!$A$7:$A$56,$A39,'Review &amp; Decision'!$D$7:$D$56,"&lt;&gt;")=1,COUNTIFS('Review &amp; Decision'!$A$7:$A$56,$A39,'Review &amp; Decision'!$F$7:$F$56,"&lt;&gt;")=1,OR(IFERROR(INDEX('Review &amp; Decision'!$E$7:$E$56,MATCH($A39,'Review &amp; Decision'!$A$7:$A$56,0)),"")="Approved",IFERROR(INDEX('Review &amp; Decision'!$E$7:$E$56,MATCH($A39,'Review &amp; Decision'!$A$7:$A$56,0)),"")="Implemented"),ISNUMBER(IFERROR(INDEX('Review &amp; Decision'!$G$7:$G$56,MATCH($A39,'Review &amp; Decision'!$A$7:$A$56,0)),"")),IFERROR(INDEX('Review &amp; Decision'!$G$7:$G$56,MATCH($A39,'Review &amp; Decision'!$A$7:$A$56,0)),"")&gt;0,IFERROR(INDEX('Review &amp; Decision'!$G$7:$G$56,MATCH($A39,'Review &amp; Decision'!$A$7:$A$56,0)),"")&lt;=Settings!$B$7,ISNUMBER(IFERROR(INDEX('Review &amp; Decision'!$I$7:$I$56,MATCH($A39,'Review &amp; Decision'!$A$7:$A$56,0)),"")),IFERROR(INDEX('Review &amp; Decision'!$I$7:$I$56,MATCH($A39,'Review &amp; Decision'!$A$7:$A$56,0)),"")&gt;0,IFERROR(INDEX('Review &amp; Decision'!$I$7:$I$56,MATCH($A39,'Review &amp; Decision'!$A$7:$A$56,0)),"")&lt;=Settings!$B$7,IFERROR(INDEX('Review &amp; Decision'!$I$7:$I$56,MATCH($A39,'Review &amp; Decision'!$A$7:$A$56,0)),"")&gt;=IFERROR(INDEX('Review &amp; Decision'!$G$7:$G$56,MATCH($A39,'Review &amp; Decision'!$A$7:$A$56,0)),""),COUNTIFS('Review &amp; Decision'!$A$7:$A$56,$A39,'Review &amp; Decision'!$J$7:$J$56,"&lt;&gt;")=1,COUNTIFS('Review &amp; Decision'!$A$7:$A$56,$A39,'Review &amp; Decision'!$K$7:$K$56,"&lt;&gt;")=1,ISNUMBER(IFERROR(INDEX('Review &amp; Decision'!$J$7:$J$56,MATCH($A39,'Review &amp; Decision'!$A$7:$A$56,0)),"")),IFERROR(INDEX('Review &amp; Decision'!$J$7:$J$56,MATCH($A39,'Review &amp; Decision'!$A$7:$A$56,0)),"")&gt;=0,IFERROR(INDEX('Review &amp; Decision'!$J$7:$J$56,MATCH($A39,'Review &amp; Decision'!$A$7:$A$56,0)),"")&lt;=1,ISNUMBER(IFERROR(INDEX('Review &amp; Decision'!$K$7:$K$56,MATCH($A39,'Review &amp; Decision'!$A$7:$A$56,0)),"")),IFERROR(INDEX('Review &amp; Decision'!$K$7:$K$56,MATCH($A39,'Review &amp; Decision'!$A$7:$A$56,0)),"")&gt;=0,IFERROR(INDEX('Review &amp; Decision'!$K$7:$K$56,MATCH($A39,'Review &amp; Decision'!$A$7:$A$56,0)),"")&lt;=1,ISNUMBER(Settings!$B$7),Settings!$B$7&gt;0,OR(Settings!$B$8="Approved + measured",Settings!$B$8="Measured only"),LEN(TRIM(IF(COUNTIFS('Review &amp; Decision'!$A$7:$A$56,$A39,'Review &amp; Decision'!$D$7:$D$56,"&lt;&gt;")=1,IFERROR(INDEX('Review &amp; Decision'!$D$7:$D$56,MATCH($A39,'Review &amp; Decision'!$A$7:$A$56,0)),""),"")))&gt;0,LEN(TRIM(IF(COUNTIFS('Review &amp; Decision'!$A$7:$A$56,$A39,'Review &amp; Decision'!$F$7:$F$56,"&lt;&gt;")=1,IFERROR(INDEX('Review &amp; Decision'!$F$7:$F$56,MATCH($A39,'Review &amp; Decision'!$A$7:$A$56,0)),""),"")))&gt;0,OR(IFERROR(INDEX('Review &amp; Decision'!$C$7:$C$56,MATCH($A39,'Review &amp; Decision'!$A$7:$A$56,0)),"")&lt;&gt;"Accepted reduction",LEN(TRIM(IF(COUNTIFS('Review &amp; Decision'!$A$7:$A$56,$A39,'Review &amp; Decision'!$L$7:$L$56,"&lt;&gt;")=1,IFERROR(INDEX('Review &amp; Decision'!$L$7:$L$56,MATCH($A39,'Review &amp; Decision'!$A$7:$A$56,0)),""),"")))&gt;0)),1,0)</f>
        <v>0</v>
      </c>
      <c r="I39" s="14">
        <f>IF(AND(AG39=1,IFERROR(INDEX(Actuals!$M$7:$M$56,MATCH($A39,Actuals!$A$7:$A$56,0)),"")="Ready",IFERROR(INDEX(Actuals!$D$7:$D$56,MATCH($A39,Actuals!$A$7:$A$56,0)),"")&gt;=IFERROR(INDEX('Review &amp; Decision'!$I$7:$I$56,MATCH($A39,'Review &amp; Decision'!$A$7:$A$56,0)),"")),1,0)</f>
        <v>0</v>
      </c>
      <c r="J39" s="14" t="str">
        <f t="shared" ref="J39:J56" si="12">IF(AG39=0,"Fix duplicate / missing case ID",IF(B39="Inactive","Unused slot",IF(B39="Example","Example only — never in live planning",IF(D39=0,"Complete case scope and proposal",IF(E39=0,"Complete current inputs; confirm zeros",IF(F39=0,"Complete full proposed profile",IF(G39="Blocked","Blocked — resolve challenge concern",IF(AJ39="Rejected","Rejected — excluded from planning",IF(AND(AI39="Realized",I39=0),"Add measurements, period and evidence",IF(G39&lt;&gt;"Clear","Complete and sign challenge review",IF(H39=0,"Approve evidence, dates and usable shares",IF(AP39="Retain","Retained — no released resource",IF(L39=1,"Measured result eligible",IF(K39=1,"Approved forecast eligible","Modeled only — not allocatable"))))))))))))))</f>
        <v>Unused slot</v>
      </c>
      <c r="K39" s="14">
        <f t="shared" ref="K39:K56" si="13">IF(AND(B39="Live",AH39=1,G39="Clear",H39=1,AI39="Validated",AP39&lt;&gt;"Retain"),1,0)</f>
        <v>0</v>
      </c>
      <c r="L39" s="14">
        <f t="shared" ref="L39:L56" si="14">IF(AND(B39="Live",AH39=1,G39="Clear",H39=1,I39=1,AI39="Realized",AJ39="Implemented",AP39&lt;&gt;"Retain"),1,0)</f>
        <v>0</v>
      </c>
      <c r="M39" s="14">
        <f>IF(OR(L39=1,AND(K39=1,Settings!$B$8="Approved + measured")),1,0)</f>
        <v>0</v>
      </c>
      <c r="N39" s="14" t="str">
        <f>IF(E39=1,IFERROR(INDEX(Current!$H$7:$H$56,MATCH($A39,Current!$A$7:$A$56,0)),""),"")</f>
        <v/>
      </c>
      <c r="O39" s="14" t="str">
        <f>IF(F39=1,IFERROR(INDEX(Proposed!$I$7:$I$56,MATCH($A39,Proposed!$A$7:$A$56,0)),""),"")</f>
        <v/>
      </c>
      <c r="P39" s="14" t="str">
        <f t="shared" ref="P39:P56" si="15">IF(AH39=1,N39-O39,"")</f>
        <v/>
      </c>
      <c r="Q39" s="14" t="str">
        <f>IF(E39=1,IFERROR(INDEX(Current!$I$7:$I$56,MATCH($A39,Current!$A$7:$A$56,0)),""),"")</f>
        <v/>
      </c>
      <c r="R39" s="14" t="str">
        <f>IF(F39=1,IFERROR(INDEX(Proposed!$J$7:$J$56,MATCH($A39,Proposed!$A$7:$A$56,0)),""),"")</f>
        <v/>
      </c>
      <c r="S39" s="14" t="str">
        <f t="shared" ref="S39:S56" si="16">IF(AH39=1,Q39-R39,"")</f>
        <v/>
      </c>
      <c r="T39" s="14" t="str">
        <f>IF(E39=1,IFERROR(INDEX(Current!$E$7:$E$56,MATCH($A39,Current!$A$7:$A$56,0)),""),"")</f>
        <v/>
      </c>
      <c r="U39" s="14" t="str">
        <f>IF(F39=1,IFERROR(INDEX(Proposed!$E$7:$E$56,MATCH($A39,Proposed!$A$7:$A$56,0)),""),"")</f>
        <v/>
      </c>
      <c r="V39" s="14" t="str">
        <f t="shared" ref="V39:V56" si="17">IF(AH39=1,T39-U39,"")</f>
        <v/>
      </c>
      <c r="W39" s="14" t="str">
        <f>IF(E39=1,IFERROR(INDEX(Current!$K$7:$K$56,MATCH($A39,Current!$A$7:$A$56,0)),""),"")</f>
        <v/>
      </c>
      <c r="X39" s="14" t="str">
        <f>IF(F39=1,IFERROR(INDEX(Proposed!$L$7:$L$56,MATCH($A39,Proposed!$A$7:$A$56,0)),""),"")</f>
        <v/>
      </c>
      <c r="Y39" s="14" t="str">
        <f t="shared" ref="Y39:Y56" si="18">IF(AH39=1,W39-X39,"")</f>
        <v/>
      </c>
      <c r="Z39" s="14" t="str">
        <f>IF(F39=1,IFERROR(INDEX(Proposed!$F$7:$F$56,MATCH($A39,Proposed!$A$7:$A$56,0)),""),"")</f>
        <v/>
      </c>
      <c r="AA39" s="14">
        <f>IF(M39=1,IF(IF(L39=1,AL39,P39)&gt;0,IF(L39=1,AL39,P39)*IFERROR(INDEX('Review &amp; Decision'!$J$7:$J$56,MATCH($A39,'Review &amp; Decision'!$A$7:$A$56,0)),""),IF(L39=1,AL39,P39)),0)</f>
        <v>0</v>
      </c>
      <c r="AB39" s="14">
        <f>IF(M39=1,IF(IF(L39=1,AM39,S39)&gt;0,IF(L39=1,AM39,S39)*IFERROR(INDEX('Review &amp; Decision'!$K$7:$K$56,MATCH($A39,'Review &amp; Decision'!$A$7:$A$56,0)),""),IF(L39=1,AM39,S39)),0)</f>
        <v>0</v>
      </c>
      <c r="AC39" s="14">
        <f t="shared" ref="AC39:AC56" si="19">IF(M39=1,IF(L39=1,AN39,V39),0)</f>
        <v>0</v>
      </c>
      <c r="AD39" s="14">
        <f t="shared" ref="AD39:AD56" si="20">IF(AND(M39=1,L39=0),Z39,0)</f>
        <v>0</v>
      </c>
      <c r="AE39" s="14">
        <f t="shared" ref="AE39:AE56" si="21">IF(AND(B39="Live",AI39="Realized"),1,0)</f>
        <v>0</v>
      </c>
      <c r="AF39" s="14" t="str">
        <f t="shared" ref="AF39:AF56" si="22">IF(AND(AE39=1,I39=0),"Missing measured evidence","No measurement warning")</f>
        <v>No measurement warning</v>
      </c>
      <c r="AG39" s="14">
        <f>IF(AND(COUNTIF(Cases!$A$7:$A$56,$A39)=1,COUNTIF(Current!$A$7:$A$56,$A39)=1,COUNTIF(Proposed!$A$7:$A$56,$A39)=1,COUNTIF('Review &amp; Decision'!$A$7:$A$56,$A39)=1,COUNTIF('Challenge Review'!$A$7:$A$56,$A39)=1,COUNTIF(Actuals!$A$7:$A$56,$A39)=1,COUNTIF(Classification!$A$7:$A$56,$A39)=1),1,0)</f>
        <v>1</v>
      </c>
      <c r="AH39" s="14">
        <f t="shared" ref="AH39:AH56" si="23">IF(AND(D39=1,E39=1,F39=1),1,0)</f>
        <v>0</v>
      </c>
      <c r="AI39" s="14" t="str">
        <f>IF(COUNTIFS('Review &amp; Decision'!$A$7:$A$56,$A39,'Review &amp; Decision'!$H$7:$H$56,"&lt;&gt;")=1,IFERROR(INDEX('Review &amp; Decision'!$H$7:$H$56,MATCH($A39,'Review &amp; Decision'!$A$7:$A$56,0)),""),"")</f>
        <v/>
      </c>
      <c r="AJ39" s="14" t="str">
        <f>IF(COUNTIFS('Review &amp; Decision'!$A$7:$A$56,$A39,'Review &amp; Decision'!$E$7:$E$56,"&lt;&gt;")=1,IFERROR(INDEX('Review &amp; Decision'!$E$7:$E$56,MATCH($A39,'Review &amp; Decision'!$A$7:$A$56,0)),""),"")</f>
        <v/>
      </c>
      <c r="AK39" s="14" t="str">
        <f>IF(COUNTIFS('Review &amp; Decision'!$A$7:$A$56,$A39,'Review &amp; Decision'!$B$7:$B$56,"&lt;&gt;")=1,IFERROR(INDEX('Review &amp; Decision'!$B$7:$B$56,MATCH($A39,'Review &amp; Decision'!$A$7:$A$56,0)),""),"")</f>
        <v/>
      </c>
      <c r="AL39" s="14" t="str">
        <f>IF(I39=1,IFERROR(INDEX(Actuals!$E$7:$E$56,MATCH($A39,Actuals!$A$7:$A$56,0)),""),"")</f>
        <v/>
      </c>
      <c r="AM39" s="14" t="str">
        <f>IF(I39=1,IFERROR(INDEX(Actuals!$F$7:$F$56,MATCH($A39,Actuals!$A$7:$A$56,0)),""),"")</f>
        <v/>
      </c>
      <c r="AN39" s="14" t="str">
        <f>IF(I39=1,IFERROR(INDEX(Actuals!$G$7:$G$56,MATCH($A39,Actuals!$A$7:$A$56,0)),""),"")</f>
        <v/>
      </c>
      <c r="AO39" s="14" t="str">
        <f>IF(I39=1,IFERROR(INDEX(Actuals!$G$7:$G$56,MATCH($A39,Actuals!$A$7:$A$56,0)),"")+IFERROR(INDEX(Actuals!$H$7:$H$56,MATCH($A39,Actuals!$A$7:$A$56,0)),""),"")</f>
        <v/>
      </c>
      <c r="AP39" s="14" t="str">
        <f>IF(COUNTIFS(Cases!$A$7:$A$56,$A39,Cases!$G$7:$G$56,"&lt;&gt;")=1,IFERROR(INDEX(Cases!$G$7:$G$56,MATCH($A39,Cases!$A$7:$A$56,0)),""),"")</f>
        <v/>
      </c>
    </row>
    <row r="40" spans="1:42" ht="43.9" customHeight="1">
      <c r="A40" s="14" t="s">
        <v>131</v>
      </c>
      <c r="B40" s="14" t="str">
        <f>IF(COUNTIFS(Cases!$A$7:$A$56,$A40,Cases!$B$7:$B$56,"&lt;&gt;")=1,IFERROR(INDEX(Cases!$B$7:$B$56,MATCH($A40,Cases!$A$7:$A$56,0)),""),"")</f>
        <v>Inactive</v>
      </c>
      <c r="C40" s="14" t="str">
        <f>IF(COUNTIFS(Cases!$A$7:$A$56,$A40,Cases!$C$7:$C$56,"&lt;&gt;")=1,IFERROR(INDEX(Cases!$C$7:$C$56,MATCH($A40,Cases!$A$7:$A$56,0)),""),"")</f>
        <v/>
      </c>
      <c r="D40" s="14">
        <f>IF(AND(AG40=1,OR(B40="Example",B40="Live"),OR(AP40="Simplify",AP40="Replace",AP40="Reduce scope",AP40="Retire",AP40="Retain"),COUNTIFS(Cases!$A$7:$A$56,$A40,Cases!$C$7:$C$56,"&lt;&gt;")=1,COUNTIFS(Cases!$A$7:$A$56,$A40,Cases!$D$7:$D$56,"&lt;&gt;")=1,COUNTIFS(Cases!$A$7:$A$56,$A40,Cases!$E$7:$E$56,"&lt;&gt;")=1,COUNTIFS(Cases!$A$7:$A$56,$A40,Cases!$F$7:$F$56,"&lt;&gt;")=1,COUNTIFS(Cases!$A$7:$A$56,$A40,Cases!$H$7:$H$56,"&lt;&gt;")=1,COUNTIFS(Cases!$A$7:$A$56,$A40,Cases!$I$7:$I$56,"&lt;&gt;")=1,LEN(TRIM(IF(COUNTIFS(Cases!$A$7:$A$56,$A40,Cases!$C$7:$C$56,"&lt;&gt;")=1,IFERROR(INDEX(Cases!$C$7:$C$56,MATCH($A40,Cases!$A$7:$A$56,0)),""),"")))&gt;0,LEN(TRIM(IF(COUNTIFS(Cases!$A$7:$A$56,$A40,Cases!$D$7:$D$56,"&lt;&gt;")=1,IFERROR(INDEX(Cases!$D$7:$D$56,MATCH($A40,Cases!$A$7:$A$56,0)),""),"")))&gt;0,LEN(TRIM(IF(COUNTIFS(Cases!$A$7:$A$56,$A40,Cases!$E$7:$E$56,"&lt;&gt;")=1,IFERROR(INDEX(Cases!$E$7:$E$56,MATCH($A40,Cases!$A$7:$A$56,0)),""),"")))&gt;0,LEN(TRIM(IF(COUNTIFS(Cases!$A$7:$A$56,$A40,Cases!$F$7:$F$56,"&lt;&gt;")=1,IFERROR(INDEX(Cases!$F$7:$F$56,MATCH($A40,Cases!$A$7:$A$56,0)),""),"")))&gt;0,LEN(TRIM(IF(COUNTIFS(Cases!$A$7:$A$56,$A40,Cases!$H$7:$H$56,"&lt;&gt;")=1,IFERROR(INDEX(Cases!$H$7:$H$56,MATCH($A40,Cases!$A$7:$A$56,0)),""),"")))&gt;0,LEN(TRIM(IF(COUNTIFS(Cases!$A$7:$A$56,$A40,Cases!$I$7:$I$56,"&lt;&gt;")=1,IFERROR(INDEX(Cases!$I$7:$I$56,MATCH($A40,Cases!$A$7:$A$56,0)),""),"")))&gt;0),1,0)</f>
        <v>0</v>
      </c>
      <c r="E40" s="14">
        <f>IF(AND(AG40=1,IFERROR(INDEX(Current!$G$7:$G$56,MATCH($A40,Current!$A$7:$A$56,0)),"")="Ready"),1,0)</f>
        <v>0</v>
      </c>
      <c r="F40" s="14">
        <f>IF(AND(AG40=1,IFERROR(INDEX(Proposed!$H$7:$H$56,MATCH($A40,Proposed!$A$7:$A$56,0)),"")="Ready",OR(AP40&lt;&gt;"Retain",AND(IFERROR(INDEX(Current!$B$7:$B$56,MATCH($A40,Current!$A$7:$A$56,0)),"")=IFERROR(INDEX(Proposed!$B$7:$B$56,MATCH($A40,Proposed!$A$7:$A$56,0)),""),IFERROR(INDEX(Current!$C$7:$C$56,MATCH($A40,Current!$A$7:$A$56,0)),"")=IFERROR(INDEX(Proposed!$C$7:$C$56,MATCH($A40,Proposed!$A$7:$A$56,0)),""),IFERROR(INDEX(Current!$D$7:$D$56,MATCH($A40,Current!$A$7:$A$56,0)),"")=IFERROR(INDEX(Proposed!$D$7:$D$56,MATCH($A40,Proposed!$A$7:$A$56,0)),""),IFERROR(INDEX(Current!$E$7:$E$56,MATCH($A40,Current!$A$7:$A$56,0)),"")=IFERROR(INDEX(Proposed!$E$7:$E$56,MATCH($A40,Proposed!$A$7:$A$56,0)),"")))),1,0)</f>
        <v>0</v>
      </c>
      <c r="G40" s="14" t="str">
        <f>IF(COUNTIFS('Challenge Review'!$A$7:$A$56,$A40,'Challenge Review'!$K$7:$K$56,"&lt;&gt;")=1,IFERROR(INDEX('Challenge Review'!$K$7:$K$56,MATCH($A40,'Challenge Review'!$A$7:$A$56,0)),""),"")</f>
        <v>Unchecked</v>
      </c>
      <c r="H40" s="14">
        <f>IF(AND(AG40=1,IFERROR(INDEX('Review &amp; Decision'!$B$7:$B$56,MATCH($A40,'Review &amp; Decision'!$A$7:$A$56,0)),"")="Evidence-backed",OR(IFERROR(INDEX('Review &amp; Decision'!$C$7:$C$56,MATCH($A40,'Review &amp; Decision'!$A$7:$A$56,0)),"")="Equivalent or better",AND(IFERROR(INDEX('Review &amp; Decision'!$C$7:$C$56,MATCH($A40,'Review &amp; Decision'!$A$7:$A$56,0)),"")="Accepted reduction",COUNTIFS('Review &amp; Decision'!$A$7:$A$56,$A40,'Review &amp; Decision'!$L$7:$L$56,"&lt;&gt;")=1)),COUNTIFS('Review &amp; Decision'!$A$7:$A$56,$A40,'Review &amp; Decision'!$D$7:$D$56,"&lt;&gt;")=1,COUNTIFS('Review &amp; Decision'!$A$7:$A$56,$A40,'Review &amp; Decision'!$F$7:$F$56,"&lt;&gt;")=1,OR(IFERROR(INDEX('Review &amp; Decision'!$E$7:$E$56,MATCH($A40,'Review &amp; Decision'!$A$7:$A$56,0)),"")="Approved",IFERROR(INDEX('Review &amp; Decision'!$E$7:$E$56,MATCH($A40,'Review &amp; Decision'!$A$7:$A$56,0)),"")="Implemented"),ISNUMBER(IFERROR(INDEX('Review &amp; Decision'!$G$7:$G$56,MATCH($A40,'Review &amp; Decision'!$A$7:$A$56,0)),"")),IFERROR(INDEX('Review &amp; Decision'!$G$7:$G$56,MATCH($A40,'Review &amp; Decision'!$A$7:$A$56,0)),"")&gt;0,IFERROR(INDEX('Review &amp; Decision'!$G$7:$G$56,MATCH($A40,'Review &amp; Decision'!$A$7:$A$56,0)),"")&lt;=Settings!$B$7,ISNUMBER(IFERROR(INDEX('Review &amp; Decision'!$I$7:$I$56,MATCH($A40,'Review &amp; Decision'!$A$7:$A$56,0)),"")),IFERROR(INDEX('Review &amp; Decision'!$I$7:$I$56,MATCH($A40,'Review &amp; Decision'!$A$7:$A$56,0)),"")&gt;0,IFERROR(INDEX('Review &amp; Decision'!$I$7:$I$56,MATCH($A40,'Review &amp; Decision'!$A$7:$A$56,0)),"")&lt;=Settings!$B$7,IFERROR(INDEX('Review &amp; Decision'!$I$7:$I$56,MATCH($A40,'Review &amp; Decision'!$A$7:$A$56,0)),"")&gt;=IFERROR(INDEX('Review &amp; Decision'!$G$7:$G$56,MATCH($A40,'Review &amp; Decision'!$A$7:$A$56,0)),""),COUNTIFS('Review &amp; Decision'!$A$7:$A$56,$A40,'Review &amp; Decision'!$J$7:$J$56,"&lt;&gt;")=1,COUNTIFS('Review &amp; Decision'!$A$7:$A$56,$A40,'Review &amp; Decision'!$K$7:$K$56,"&lt;&gt;")=1,ISNUMBER(IFERROR(INDEX('Review &amp; Decision'!$J$7:$J$56,MATCH($A40,'Review &amp; Decision'!$A$7:$A$56,0)),"")),IFERROR(INDEX('Review &amp; Decision'!$J$7:$J$56,MATCH($A40,'Review &amp; Decision'!$A$7:$A$56,0)),"")&gt;=0,IFERROR(INDEX('Review &amp; Decision'!$J$7:$J$56,MATCH($A40,'Review &amp; Decision'!$A$7:$A$56,0)),"")&lt;=1,ISNUMBER(IFERROR(INDEX('Review &amp; Decision'!$K$7:$K$56,MATCH($A40,'Review &amp; Decision'!$A$7:$A$56,0)),"")),IFERROR(INDEX('Review &amp; Decision'!$K$7:$K$56,MATCH($A40,'Review &amp; Decision'!$A$7:$A$56,0)),"")&gt;=0,IFERROR(INDEX('Review &amp; Decision'!$K$7:$K$56,MATCH($A40,'Review &amp; Decision'!$A$7:$A$56,0)),"")&lt;=1,ISNUMBER(Settings!$B$7),Settings!$B$7&gt;0,OR(Settings!$B$8="Approved + measured",Settings!$B$8="Measured only"),LEN(TRIM(IF(COUNTIFS('Review &amp; Decision'!$A$7:$A$56,$A40,'Review &amp; Decision'!$D$7:$D$56,"&lt;&gt;")=1,IFERROR(INDEX('Review &amp; Decision'!$D$7:$D$56,MATCH($A40,'Review &amp; Decision'!$A$7:$A$56,0)),""),"")))&gt;0,LEN(TRIM(IF(COUNTIFS('Review &amp; Decision'!$A$7:$A$56,$A40,'Review &amp; Decision'!$F$7:$F$56,"&lt;&gt;")=1,IFERROR(INDEX('Review &amp; Decision'!$F$7:$F$56,MATCH($A40,'Review &amp; Decision'!$A$7:$A$56,0)),""),"")))&gt;0,OR(IFERROR(INDEX('Review &amp; Decision'!$C$7:$C$56,MATCH($A40,'Review &amp; Decision'!$A$7:$A$56,0)),"")&lt;&gt;"Accepted reduction",LEN(TRIM(IF(COUNTIFS('Review &amp; Decision'!$A$7:$A$56,$A40,'Review &amp; Decision'!$L$7:$L$56,"&lt;&gt;")=1,IFERROR(INDEX('Review &amp; Decision'!$L$7:$L$56,MATCH($A40,'Review &amp; Decision'!$A$7:$A$56,0)),""),"")))&gt;0)),1,0)</f>
        <v>0</v>
      </c>
      <c r="I40" s="14">
        <f>IF(AND(AG40=1,IFERROR(INDEX(Actuals!$M$7:$M$56,MATCH($A40,Actuals!$A$7:$A$56,0)),"")="Ready",IFERROR(INDEX(Actuals!$D$7:$D$56,MATCH($A40,Actuals!$A$7:$A$56,0)),"")&gt;=IFERROR(INDEX('Review &amp; Decision'!$I$7:$I$56,MATCH($A40,'Review &amp; Decision'!$A$7:$A$56,0)),"")),1,0)</f>
        <v>0</v>
      </c>
      <c r="J40" s="14" t="str">
        <f t="shared" si="12"/>
        <v>Unused slot</v>
      </c>
      <c r="K40" s="14">
        <f t="shared" si="13"/>
        <v>0</v>
      </c>
      <c r="L40" s="14">
        <f t="shared" si="14"/>
        <v>0</v>
      </c>
      <c r="M40" s="14">
        <f>IF(OR(L40=1,AND(K40=1,Settings!$B$8="Approved + measured")),1,0)</f>
        <v>0</v>
      </c>
      <c r="N40" s="14" t="str">
        <f>IF(E40=1,IFERROR(INDEX(Current!$H$7:$H$56,MATCH($A40,Current!$A$7:$A$56,0)),""),"")</f>
        <v/>
      </c>
      <c r="O40" s="14" t="str">
        <f>IF(F40=1,IFERROR(INDEX(Proposed!$I$7:$I$56,MATCH($A40,Proposed!$A$7:$A$56,0)),""),"")</f>
        <v/>
      </c>
      <c r="P40" s="14" t="str">
        <f t="shared" si="15"/>
        <v/>
      </c>
      <c r="Q40" s="14" t="str">
        <f>IF(E40=1,IFERROR(INDEX(Current!$I$7:$I$56,MATCH($A40,Current!$A$7:$A$56,0)),""),"")</f>
        <v/>
      </c>
      <c r="R40" s="14" t="str">
        <f>IF(F40=1,IFERROR(INDEX(Proposed!$J$7:$J$56,MATCH($A40,Proposed!$A$7:$A$56,0)),""),"")</f>
        <v/>
      </c>
      <c r="S40" s="14" t="str">
        <f t="shared" si="16"/>
        <v/>
      </c>
      <c r="T40" s="14" t="str">
        <f>IF(E40=1,IFERROR(INDEX(Current!$E$7:$E$56,MATCH($A40,Current!$A$7:$A$56,0)),""),"")</f>
        <v/>
      </c>
      <c r="U40" s="14" t="str">
        <f>IF(F40=1,IFERROR(INDEX(Proposed!$E$7:$E$56,MATCH($A40,Proposed!$A$7:$A$56,0)),""),"")</f>
        <v/>
      </c>
      <c r="V40" s="14" t="str">
        <f t="shared" si="17"/>
        <v/>
      </c>
      <c r="W40" s="14" t="str">
        <f>IF(E40=1,IFERROR(INDEX(Current!$K$7:$K$56,MATCH($A40,Current!$A$7:$A$56,0)),""),"")</f>
        <v/>
      </c>
      <c r="X40" s="14" t="str">
        <f>IF(F40=1,IFERROR(INDEX(Proposed!$L$7:$L$56,MATCH($A40,Proposed!$A$7:$A$56,0)),""),"")</f>
        <v/>
      </c>
      <c r="Y40" s="14" t="str">
        <f t="shared" si="18"/>
        <v/>
      </c>
      <c r="Z40" s="14" t="str">
        <f>IF(F40=1,IFERROR(INDEX(Proposed!$F$7:$F$56,MATCH($A40,Proposed!$A$7:$A$56,0)),""),"")</f>
        <v/>
      </c>
      <c r="AA40" s="14">
        <f>IF(M40=1,IF(IF(L40=1,AL40,P40)&gt;0,IF(L40=1,AL40,P40)*IFERROR(INDEX('Review &amp; Decision'!$J$7:$J$56,MATCH($A40,'Review &amp; Decision'!$A$7:$A$56,0)),""),IF(L40=1,AL40,P40)),0)</f>
        <v>0</v>
      </c>
      <c r="AB40" s="14">
        <f>IF(M40=1,IF(IF(L40=1,AM40,S40)&gt;0,IF(L40=1,AM40,S40)*IFERROR(INDEX('Review &amp; Decision'!$K$7:$K$56,MATCH($A40,'Review &amp; Decision'!$A$7:$A$56,0)),""),IF(L40=1,AM40,S40)),0)</f>
        <v>0</v>
      </c>
      <c r="AC40" s="14">
        <f t="shared" si="19"/>
        <v>0</v>
      </c>
      <c r="AD40" s="14">
        <f t="shared" si="20"/>
        <v>0</v>
      </c>
      <c r="AE40" s="14">
        <f t="shared" si="21"/>
        <v>0</v>
      </c>
      <c r="AF40" s="14" t="str">
        <f t="shared" si="22"/>
        <v>No measurement warning</v>
      </c>
      <c r="AG40" s="14">
        <f>IF(AND(COUNTIF(Cases!$A$7:$A$56,$A40)=1,COUNTIF(Current!$A$7:$A$56,$A40)=1,COUNTIF(Proposed!$A$7:$A$56,$A40)=1,COUNTIF('Review &amp; Decision'!$A$7:$A$56,$A40)=1,COUNTIF('Challenge Review'!$A$7:$A$56,$A40)=1,COUNTIF(Actuals!$A$7:$A$56,$A40)=1,COUNTIF(Classification!$A$7:$A$56,$A40)=1),1,0)</f>
        <v>1</v>
      </c>
      <c r="AH40" s="14">
        <f t="shared" si="23"/>
        <v>0</v>
      </c>
      <c r="AI40" s="14" t="str">
        <f>IF(COUNTIFS('Review &amp; Decision'!$A$7:$A$56,$A40,'Review &amp; Decision'!$H$7:$H$56,"&lt;&gt;")=1,IFERROR(INDEX('Review &amp; Decision'!$H$7:$H$56,MATCH($A40,'Review &amp; Decision'!$A$7:$A$56,0)),""),"")</f>
        <v/>
      </c>
      <c r="AJ40" s="14" t="str">
        <f>IF(COUNTIFS('Review &amp; Decision'!$A$7:$A$56,$A40,'Review &amp; Decision'!$E$7:$E$56,"&lt;&gt;")=1,IFERROR(INDEX('Review &amp; Decision'!$E$7:$E$56,MATCH($A40,'Review &amp; Decision'!$A$7:$A$56,0)),""),"")</f>
        <v/>
      </c>
      <c r="AK40" s="14" t="str">
        <f>IF(COUNTIFS('Review &amp; Decision'!$A$7:$A$56,$A40,'Review &amp; Decision'!$B$7:$B$56,"&lt;&gt;")=1,IFERROR(INDEX('Review &amp; Decision'!$B$7:$B$56,MATCH($A40,'Review &amp; Decision'!$A$7:$A$56,0)),""),"")</f>
        <v/>
      </c>
      <c r="AL40" s="14" t="str">
        <f>IF(I40=1,IFERROR(INDEX(Actuals!$E$7:$E$56,MATCH($A40,Actuals!$A$7:$A$56,0)),""),"")</f>
        <v/>
      </c>
      <c r="AM40" s="14" t="str">
        <f>IF(I40=1,IFERROR(INDEX(Actuals!$F$7:$F$56,MATCH($A40,Actuals!$A$7:$A$56,0)),""),"")</f>
        <v/>
      </c>
      <c r="AN40" s="14" t="str">
        <f>IF(I40=1,IFERROR(INDEX(Actuals!$G$7:$G$56,MATCH($A40,Actuals!$A$7:$A$56,0)),""),"")</f>
        <v/>
      </c>
      <c r="AO40" s="14" t="str">
        <f>IF(I40=1,IFERROR(INDEX(Actuals!$G$7:$G$56,MATCH($A40,Actuals!$A$7:$A$56,0)),"")+IFERROR(INDEX(Actuals!$H$7:$H$56,MATCH($A40,Actuals!$A$7:$A$56,0)),""),"")</f>
        <v/>
      </c>
      <c r="AP40" s="14" t="str">
        <f>IF(COUNTIFS(Cases!$A$7:$A$56,$A40,Cases!$G$7:$G$56,"&lt;&gt;")=1,IFERROR(INDEX(Cases!$G$7:$G$56,MATCH($A40,Cases!$A$7:$A$56,0)),""),"")</f>
        <v/>
      </c>
    </row>
    <row r="41" spans="1:42" ht="43.9" customHeight="1">
      <c r="A41" s="14" t="s">
        <v>132</v>
      </c>
      <c r="B41" s="14" t="str">
        <f>IF(COUNTIFS(Cases!$A$7:$A$56,$A41,Cases!$B$7:$B$56,"&lt;&gt;")=1,IFERROR(INDEX(Cases!$B$7:$B$56,MATCH($A41,Cases!$A$7:$A$56,0)),""),"")</f>
        <v>Inactive</v>
      </c>
      <c r="C41" s="14" t="str">
        <f>IF(COUNTIFS(Cases!$A$7:$A$56,$A41,Cases!$C$7:$C$56,"&lt;&gt;")=1,IFERROR(INDEX(Cases!$C$7:$C$56,MATCH($A41,Cases!$A$7:$A$56,0)),""),"")</f>
        <v/>
      </c>
      <c r="D41" s="14">
        <f>IF(AND(AG41=1,OR(B41="Example",B41="Live"),OR(AP41="Simplify",AP41="Replace",AP41="Reduce scope",AP41="Retire",AP41="Retain"),COUNTIFS(Cases!$A$7:$A$56,$A41,Cases!$C$7:$C$56,"&lt;&gt;")=1,COUNTIFS(Cases!$A$7:$A$56,$A41,Cases!$D$7:$D$56,"&lt;&gt;")=1,COUNTIFS(Cases!$A$7:$A$56,$A41,Cases!$E$7:$E$56,"&lt;&gt;")=1,COUNTIFS(Cases!$A$7:$A$56,$A41,Cases!$F$7:$F$56,"&lt;&gt;")=1,COUNTIFS(Cases!$A$7:$A$56,$A41,Cases!$H$7:$H$56,"&lt;&gt;")=1,COUNTIFS(Cases!$A$7:$A$56,$A41,Cases!$I$7:$I$56,"&lt;&gt;")=1,LEN(TRIM(IF(COUNTIFS(Cases!$A$7:$A$56,$A41,Cases!$C$7:$C$56,"&lt;&gt;")=1,IFERROR(INDEX(Cases!$C$7:$C$56,MATCH($A41,Cases!$A$7:$A$56,0)),""),"")))&gt;0,LEN(TRIM(IF(COUNTIFS(Cases!$A$7:$A$56,$A41,Cases!$D$7:$D$56,"&lt;&gt;")=1,IFERROR(INDEX(Cases!$D$7:$D$56,MATCH($A41,Cases!$A$7:$A$56,0)),""),"")))&gt;0,LEN(TRIM(IF(COUNTIFS(Cases!$A$7:$A$56,$A41,Cases!$E$7:$E$56,"&lt;&gt;")=1,IFERROR(INDEX(Cases!$E$7:$E$56,MATCH($A41,Cases!$A$7:$A$56,0)),""),"")))&gt;0,LEN(TRIM(IF(COUNTIFS(Cases!$A$7:$A$56,$A41,Cases!$F$7:$F$56,"&lt;&gt;")=1,IFERROR(INDEX(Cases!$F$7:$F$56,MATCH($A41,Cases!$A$7:$A$56,0)),""),"")))&gt;0,LEN(TRIM(IF(COUNTIFS(Cases!$A$7:$A$56,$A41,Cases!$H$7:$H$56,"&lt;&gt;")=1,IFERROR(INDEX(Cases!$H$7:$H$56,MATCH($A41,Cases!$A$7:$A$56,0)),""),"")))&gt;0,LEN(TRIM(IF(COUNTIFS(Cases!$A$7:$A$56,$A41,Cases!$I$7:$I$56,"&lt;&gt;")=1,IFERROR(INDEX(Cases!$I$7:$I$56,MATCH($A41,Cases!$A$7:$A$56,0)),""),"")))&gt;0),1,0)</f>
        <v>0</v>
      </c>
      <c r="E41" s="14">
        <f>IF(AND(AG41=1,IFERROR(INDEX(Current!$G$7:$G$56,MATCH($A41,Current!$A$7:$A$56,0)),"")="Ready"),1,0)</f>
        <v>0</v>
      </c>
      <c r="F41" s="14">
        <f>IF(AND(AG41=1,IFERROR(INDEX(Proposed!$H$7:$H$56,MATCH($A41,Proposed!$A$7:$A$56,0)),"")="Ready",OR(AP41&lt;&gt;"Retain",AND(IFERROR(INDEX(Current!$B$7:$B$56,MATCH($A41,Current!$A$7:$A$56,0)),"")=IFERROR(INDEX(Proposed!$B$7:$B$56,MATCH($A41,Proposed!$A$7:$A$56,0)),""),IFERROR(INDEX(Current!$C$7:$C$56,MATCH($A41,Current!$A$7:$A$56,0)),"")=IFERROR(INDEX(Proposed!$C$7:$C$56,MATCH($A41,Proposed!$A$7:$A$56,0)),""),IFERROR(INDEX(Current!$D$7:$D$56,MATCH($A41,Current!$A$7:$A$56,0)),"")=IFERROR(INDEX(Proposed!$D$7:$D$56,MATCH($A41,Proposed!$A$7:$A$56,0)),""),IFERROR(INDEX(Current!$E$7:$E$56,MATCH($A41,Current!$A$7:$A$56,0)),"")=IFERROR(INDEX(Proposed!$E$7:$E$56,MATCH($A41,Proposed!$A$7:$A$56,0)),"")))),1,0)</f>
        <v>0</v>
      </c>
      <c r="G41" s="14" t="str">
        <f>IF(COUNTIFS('Challenge Review'!$A$7:$A$56,$A41,'Challenge Review'!$K$7:$K$56,"&lt;&gt;")=1,IFERROR(INDEX('Challenge Review'!$K$7:$K$56,MATCH($A41,'Challenge Review'!$A$7:$A$56,0)),""),"")</f>
        <v>Unchecked</v>
      </c>
      <c r="H41" s="14">
        <f>IF(AND(AG41=1,IFERROR(INDEX('Review &amp; Decision'!$B$7:$B$56,MATCH($A41,'Review &amp; Decision'!$A$7:$A$56,0)),"")="Evidence-backed",OR(IFERROR(INDEX('Review &amp; Decision'!$C$7:$C$56,MATCH($A41,'Review &amp; Decision'!$A$7:$A$56,0)),"")="Equivalent or better",AND(IFERROR(INDEX('Review &amp; Decision'!$C$7:$C$56,MATCH($A41,'Review &amp; Decision'!$A$7:$A$56,0)),"")="Accepted reduction",COUNTIFS('Review &amp; Decision'!$A$7:$A$56,$A41,'Review &amp; Decision'!$L$7:$L$56,"&lt;&gt;")=1)),COUNTIFS('Review &amp; Decision'!$A$7:$A$56,$A41,'Review &amp; Decision'!$D$7:$D$56,"&lt;&gt;")=1,COUNTIFS('Review &amp; Decision'!$A$7:$A$56,$A41,'Review &amp; Decision'!$F$7:$F$56,"&lt;&gt;")=1,OR(IFERROR(INDEX('Review &amp; Decision'!$E$7:$E$56,MATCH($A41,'Review &amp; Decision'!$A$7:$A$56,0)),"")="Approved",IFERROR(INDEX('Review &amp; Decision'!$E$7:$E$56,MATCH($A41,'Review &amp; Decision'!$A$7:$A$56,0)),"")="Implemented"),ISNUMBER(IFERROR(INDEX('Review &amp; Decision'!$G$7:$G$56,MATCH($A41,'Review &amp; Decision'!$A$7:$A$56,0)),"")),IFERROR(INDEX('Review &amp; Decision'!$G$7:$G$56,MATCH($A41,'Review &amp; Decision'!$A$7:$A$56,0)),"")&gt;0,IFERROR(INDEX('Review &amp; Decision'!$G$7:$G$56,MATCH($A41,'Review &amp; Decision'!$A$7:$A$56,0)),"")&lt;=Settings!$B$7,ISNUMBER(IFERROR(INDEX('Review &amp; Decision'!$I$7:$I$56,MATCH($A41,'Review &amp; Decision'!$A$7:$A$56,0)),"")),IFERROR(INDEX('Review &amp; Decision'!$I$7:$I$56,MATCH($A41,'Review &amp; Decision'!$A$7:$A$56,0)),"")&gt;0,IFERROR(INDEX('Review &amp; Decision'!$I$7:$I$56,MATCH($A41,'Review &amp; Decision'!$A$7:$A$56,0)),"")&lt;=Settings!$B$7,IFERROR(INDEX('Review &amp; Decision'!$I$7:$I$56,MATCH($A41,'Review &amp; Decision'!$A$7:$A$56,0)),"")&gt;=IFERROR(INDEX('Review &amp; Decision'!$G$7:$G$56,MATCH($A41,'Review &amp; Decision'!$A$7:$A$56,0)),""),COUNTIFS('Review &amp; Decision'!$A$7:$A$56,$A41,'Review &amp; Decision'!$J$7:$J$56,"&lt;&gt;")=1,COUNTIFS('Review &amp; Decision'!$A$7:$A$56,$A41,'Review &amp; Decision'!$K$7:$K$56,"&lt;&gt;")=1,ISNUMBER(IFERROR(INDEX('Review &amp; Decision'!$J$7:$J$56,MATCH($A41,'Review &amp; Decision'!$A$7:$A$56,0)),"")),IFERROR(INDEX('Review &amp; Decision'!$J$7:$J$56,MATCH($A41,'Review &amp; Decision'!$A$7:$A$56,0)),"")&gt;=0,IFERROR(INDEX('Review &amp; Decision'!$J$7:$J$56,MATCH($A41,'Review &amp; Decision'!$A$7:$A$56,0)),"")&lt;=1,ISNUMBER(IFERROR(INDEX('Review &amp; Decision'!$K$7:$K$56,MATCH($A41,'Review &amp; Decision'!$A$7:$A$56,0)),"")),IFERROR(INDEX('Review &amp; Decision'!$K$7:$K$56,MATCH($A41,'Review &amp; Decision'!$A$7:$A$56,0)),"")&gt;=0,IFERROR(INDEX('Review &amp; Decision'!$K$7:$K$56,MATCH($A41,'Review &amp; Decision'!$A$7:$A$56,0)),"")&lt;=1,ISNUMBER(Settings!$B$7),Settings!$B$7&gt;0,OR(Settings!$B$8="Approved + measured",Settings!$B$8="Measured only"),LEN(TRIM(IF(COUNTIFS('Review &amp; Decision'!$A$7:$A$56,$A41,'Review &amp; Decision'!$D$7:$D$56,"&lt;&gt;")=1,IFERROR(INDEX('Review &amp; Decision'!$D$7:$D$56,MATCH($A41,'Review &amp; Decision'!$A$7:$A$56,0)),""),"")))&gt;0,LEN(TRIM(IF(COUNTIFS('Review &amp; Decision'!$A$7:$A$56,$A41,'Review &amp; Decision'!$F$7:$F$56,"&lt;&gt;")=1,IFERROR(INDEX('Review &amp; Decision'!$F$7:$F$56,MATCH($A41,'Review &amp; Decision'!$A$7:$A$56,0)),""),"")))&gt;0,OR(IFERROR(INDEX('Review &amp; Decision'!$C$7:$C$56,MATCH($A41,'Review &amp; Decision'!$A$7:$A$56,0)),"")&lt;&gt;"Accepted reduction",LEN(TRIM(IF(COUNTIFS('Review &amp; Decision'!$A$7:$A$56,$A41,'Review &amp; Decision'!$L$7:$L$56,"&lt;&gt;")=1,IFERROR(INDEX('Review &amp; Decision'!$L$7:$L$56,MATCH($A41,'Review &amp; Decision'!$A$7:$A$56,0)),""),"")))&gt;0)),1,0)</f>
        <v>0</v>
      </c>
      <c r="I41" s="14">
        <f>IF(AND(AG41=1,IFERROR(INDEX(Actuals!$M$7:$M$56,MATCH($A41,Actuals!$A$7:$A$56,0)),"")="Ready",IFERROR(INDEX(Actuals!$D$7:$D$56,MATCH($A41,Actuals!$A$7:$A$56,0)),"")&gt;=IFERROR(INDEX('Review &amp; Decision'!$I$7:$I$56,MATCH($A41,'Review &amp; Decision'!$A$7:$A$56,0)),"")),1,0)</f>
        <v>0</v>
      </c>
      <c r="J41" s="14" t="str">
        <f t="shared" si="12"/>
        <v>Unused slot</v>
      </c>
      <c r="K41" s="14">
        <f t="shared" si="13"/>
        <v>0</v>
      </c>
      <c r="L41" s="14">
        <f t="shared" si="14"/>
        <v>0</v>
      </c>
      <c r="M41" s="14">
        <f>IF(OR(L41=1,AND(K41=1,Settings!$B$8="Approved + measured")),1,0)</f>
        <v>0</v>
      </c>
      <c r="N41" s="14" t="str">
        <f>IF(E41=1,IFERROR(INDEX(Current!$H$7:$H$56,MATCH($A41,Current!$A$7:$A$56,0)),""),"")</f>
        <v/>
      </c>
      <c r="O41" s="14" t="str">
        <f>IF(F41=1,IFERROR(INDEX(Proposed!$I$7:$I$56,MATCH($A41,Proposed!$A$7:$A$56,0)),""),"")</f>
        <v/>
      </c>
      <c r="P41" s="14" t="str">
        <f t="shared" si="15"/>
        <v/>
      </c>
      <c r="Q41" s="14" t="str">
        <f>IF(E41=1,IFERROR(INDEX(Current!$I$7:$I$56,MATCH($A41,Current!$A$7:$A$56,0)),""),"")</f>
        <v/>
      </c>
      <c r="R41" s="14" t="str">
        <f>IF(F41=1,IFERROR(INDEX(Proposed!$J$7:$J$56,MATCH($A41,Proposed!$A$7:$A$56,0)),""),"")</f>
        <v/>
      </c>
      <c r="S41" s="14" t="str">
        <f t="shared" si="16"/>
        <v/>
      </c>
      <c r="T41" s="14" t="str">
        <f>IF(E41=1,IFERROR(INDEX(Current!$E$7:$E$56,MATCH($A41,Current!$A$7:$A$56,0)),""),"")</f>
        <v/>
      </c>
      <c r="U41" s="14" t="str">
        <f>IF(F41=1,IFERROR(INDEX(Proposed!$E$7:$E$56,MATCH($A41,Proposed!$A$7:$A$56,0)),""),"")</f>
        <v/>
      </c>
      <c r="V41" s="14" t="str">
        <f t="shared" si="17"/>
        <v/>
      </c>
      <c r="W41" s="14" t="str">
        <f>IF(E41=1,IFERROR(INDEX(Current!$K$7:$K$56,MATCH($A41,Current!$A$7:$A$56,0)),""),"")</f>
        <v/>
      </c>
      <c r="X41" s="14" t="str">
        <f>IF(F41=1,IFERROR(INDEX(Proposed!$L$7:$L$56,MATCH($A41,Proposed!$A$7:$A$56,0)),""),"")</f>
        <v/>
      </c>
      <c r="Y41" s="14" t="str">
        <f t="shared" si="18"/>
        <v/>
      </c>
      <c r="Z41" s="14" t="str">
        <f>IF(F41=1,IFERROR(INDEX(Proposed!$F$7:$F$56,MATCH($A41,Proposed!$A$7:$A$56,0)),""),"")</f>
        <v/>
      </c>
      <c r="AA41" s="14">
        <f>IF(M41=1,IF(IF(L41=1,AL41,P41)&gt;0,IF(L41=1,AL41,P41)*IFERROR(INDEX('Review &amp; Decision'!$J$7:$J$56,MATCH($A41,'Review &amp; Decision'!$A$7:$A$56,0)),""),IF(L41=1,AL41,P41)),0)</f>
        <v>0</v>
      </c>
      <c r="AB41" s="14">
        <f>IF(M41=1,IF(IF(L41=1,AM41,S41)&gt;0,IF(L41=1,AM41,S41)*IFERROR(INDEX('Review &amp; Decision'!$K$7:$K$56,MATCH($A41,'Review &amp; Decision'!$A$7:$A$56,0)),""),IF(L41=1,AM41,S41)),0)</f>
        <v>0</v>
      </c>
      <c r="AC41" s="14">
        <f t="shared" si="19"/>
        <v>0</v>
      </c>
      <c r="AD41" s="14">
        <f t="shared" si="20"/>
        <v>0</v>
      </c>
      <c r="AE41" s="14">
        <f t="shared" si="21"/>
        <v>0</v>
      </c>
      <c r="AF41" s="14" t="str">
        <f t="shared" si="22"/>
        <v>No measurement warning</v>
      </c>
      <c r="AG41" s="14">
        <f>IF(AND(COUNTIF(Cases!$A$7:$A$56,$A41)=1,COUNTIF(Current!$A$7:$A$56,$A41)=1,COUNTIF(Proposed!$A$7:$A$56,$A41)=1,COUNTIF('Review &amp; Decision'!$A$7:$A$56,$A41)=1,COUNTIF('Challenge Review'!$A$7:$A$56,$A41)=1,COUNTIF(Actuals!$A$7:$A$56,$A41)=1,COUNTIF(Classification!$A$7:$A$56,$A41)=1),1,0)</f>
        <v>1</v>
      </c>
      <c r="AH41" s="14">
        <f t="shared" si="23"/>
        <v>0</v>
      </c>
      <c r="AI41" s="14" t="str">
        <f>IF(COUNTIFS('Review &amp; Decision'!$A$7:$A$56,$A41,'Review &amp; Decision'!$H$7:$H$56,"&lt;&gt;")=1,IFERROR(INDEX('Review &amp; Decision'!$H$7:$H$56,MATCH($A41,'Review &amp; Decision'!$A$7:$A$56,0)),""),"")</f>
        <v/>
      </c>
      <c r="AJ41" s="14" t="str">
        <f>IF(COUNTIFS('Review &amp; Decision'!$A$7:$A$56,$A41,'Review &amp; Decision'!$E$7:$E$56,"&lt;&gt;")=1,IFERROR(INDEX('Review &amp; Decision'!$E$7:$E$56,MATCH($A41,'Review &amp; Decision'!$A$7:$A$56,0)),""),"")</f>
        <v/>
      </c>
      <c r="AK41" s="14" t="str">
        <f>IF(COUNTIFS('Review &amp; Decision'!$A$7:$A$56,$A41,'Review &amp; Decision'!$B$7:$B$56,"&lt;&gt;")=1,IFERROR(INDEX('Review &amp; Decision'!$B$7:$B$56,MATCH($A41,'Review &amp; Decision'!$A$7:$A$56,0)),""),"")</f>
        <v/>
      </c>
      <c r="AL41" s="14" t="str">
        <f>IF(I41=1,IFERROR(INDEX(Actuals!$E$7:$E$56,MATCH($A41,Actuals!$A$7:$A$56,0)),""),"")</f>
        <v/>
      </c>
      <c r="AM41" s="14" t="str">
        <f>IF(I41=1,IFERROR(INDEX(Actuals!$F$7:$F$56,MATCH($A41,Actuals!$A$7:$A$56,0)),""),"")</f>
        <v/>
      </c>
      <c r="AN41" s="14" t="str">
        <f>IF(I41=1,IFERROR(INDEX(Actuals!$G$7:$G$56,MATCH($A41,Actuals!$A$7:$A$56,0)),""),"")</f>
        <v/>
      </c>
      <c r="AO41" s="14" t="str">
        <f>IF(I41=1,IFERROR(INDEX(Actuals!$G$7:$G$56,MATCH($A41,Actuals!$A$7:$A$56,0)),"")+IFERROR(INDEX(Actuals!$H$7:$H$56,MATCH($A41,Actuals!$A$7:$A$56,0)),""),"")</f>
        <v/>
      </c>
      <c r="AP41" s="14" t="str">
        <f>IF(COUNTIFS(Cases!$A$7:$A$56,$A41,Cases!$G$7:$G$56,"&lt;&gt;")=1,IFERROR(INDEX(Cases!$G$7:$G$56,MATCH($A41,Cases!$A$7:$A$56,0)),""),"")</f>
        <v/>
      </c>
    </row>
    <row r="42" spans="1:42" ht="43.9" customHeight="1">
      <c r="A42" s="14" t="s">
        <v>133</v>
      </c>
      <c r="B42" s="14" t="str">
        <f>IF(COUNTIFS(Cases!$A$7:$A$56,$A42,Cases!$B$7:$B$56,"&lt;&gt;")=1,IFERROR(INDEX(Cases!$B$7:$B$56,MATCH($A42,Cases!$A$7:$A$56,0)),""),"")</f>
        <v>Inactive</v>
      </c>
      <c r="C42" s="14" t="str">
        <f>IF(COUNTIFS(Cases!$A$7:$A$56,$A42,Cases!$C$7:$C$56,"&lt;&gt;")=1,IFERROR(INDEX(Cases!$C$7:$C$56,MATCH($A42,Cases!$A$7:$A$56,0)),""),"")</f>
        <v/>
      </c>
      <c r="D42" s="14">
        <f>IF(AND(AG42=1,OR(B42="Example",B42="Live"),OR(AP42="Simplify",AP42="Replace",AP42="Reduce scope",AP42="Retire",AP42="Retain"),COUNTIFS(Cases!$A$7:$A$56,$A42,Cases!$C$7:$C$56,"&lt;&gt;")=1,COUNTIFS(Cases!$A$7:$A$56,$A42,Cases!$D$7:$D$56,"&lt;&gt;")=1,COUNTIFS(Cases!$A$7:$A$56,$A42,Cases!$E$7:$E$56,"&lt;&gt;")=1,COUNTIFS(Cases!$A$7:$A$56,$A42,Cases!$F$7:$F$56,"&lt;&gt;")=1,COUNTIFS(Cases!$A$7:$A$56,$A42,Cases!$H$7:$H$56,"&lt;&gt;")=1,COUNTIFS(Cases!$A$7:$A$56,$A42,Cases!$I$7:$I$56,"&lt;&gt;")=1,LEN(TRIM(IF(COUNTIFS(Cases!$A$7:$A$56,$A42,Cases!$C$7:$C$56,"&lt;&gt;")=1,IFERROR(INDEX(Cases!$C$7:$C$56,MATCH($A42,Cases!$A$7:$A$56,0)),""),"")))&gt;0,LEN(TRIM(IF(COUNTIFS(Cases!$A$7:$A$56,$A42,Cases!$D$7:$D$56,"&lt;&gt;")=1,IFERROR(INDEX(Cases!$D$7:$D$56,MATCH($A42,Cases!$A$7:$A$56,0)),""),"")))&gt;0,LEN(TRIM(IF(COUNTIFS(Cases!$A$7:$A$56,$A42,Cases!$E$7:$E$56,"&lt;&gt;")=1,IFERROR(INDEX(Cases!$E$7:$E$56,MATCH($A42,Cases!$A$7:$A$56,0)),""),"")))&gt;0,LEN(TRIM(IF(COUNTIFS(Cases!$A$7:$A$56,$A42,Cases!$F$7:$F$56,"&lt;&gt;")=1,IFERROR(INDEX(Cases!$F$7:$F$56,MATCH($A42,Cases!$A$7:$A$56,0)),""),"")))&gt;0,LEN(TRIM(IF(COUNTIFS(Cases!$A$7:$A$56,$A42,Cases!$H$7:$H$56,"&lt;&gt;")=1,IFERROR(INDEX(Cases!$H$7:$H$56,MATCH($A42,Cases!$A$7:$A$56,0)),""),"")))&gt;0,LEN(TRIM(IF(COUNTIFS(Cases!$A$7:$A$56,$A42,Cases!$I$7:$I$56,"&lt;&gt;")=1,IFERROR(INDEX(Cases!$I$7:$I$56,MATCH($A42,Cases!$A$7:$A$56,0)),""),"")))&gt;0),1,0)</f>
        <v>0</v>
      </c>
      <c r="E42" s="14">
        <f>IF(AND(AG42=1,IFERROR(INDEX(Current!$G$7:$G$56,MATCH($A42,Current!$A$7:$A$56,0)),"")="Ready"),1,0)</f>
        <v>0</v>
      </c>
      <c r="F42" s="14">
        <f>IF(AND(AG42=1,IFERROR(INDEX(Proposed!$H$7:$H$56,MATCH($A42,Proposed!$A$7:$A$56,0)),"")="Ready",OR(AP42&lt;&gt;"Retain",AND(IFERROR(INDEX(Current!$B$7:$B$56,MATCH($A42,Current!$A$7:$A$56,0)),"")=IFERROR(INDEX(Proposed!$B$7:$B$56,MATCH($A42,Proposed!$A$7:$A$56,0)),""),IFERROR(INDEX(Current!$C$7:$C$56,MATCH($A42,Current!$A$7:$A$56,0)),"")=IFERROR(INDEX(Proposed!$C$7:$C$56,MATCH($A42,Proposed!$A$7:$A$56,0)),""),IFERROR(INDEX(Current!$D$7:$D$56,MATCH($A42,Current!$A$7:$A$56,0)),"")=IFERROR(INDEX(Proposed!$D$7:$D$56,MATCH($A42,Proposed!$A$7:$A$56,0)),""),IFERROR(INDEX(Current!$E$7:$E$56,MATCH($A42,Current!$A$7:$A$56,0)),"")=IFERROR(INDEX(Proposed!$E$7:$E$56,MATCH($A42,Proposed!$A$7:$A$56,0)),"")))),1,0)</f>
        <v>0</v>
      </c>
      <c r="G42" s="14" t="str">
        <f>IF(COUNTIFS('Challenge Review'!$A$7:$A$56,$A42,'Challenge Review'!$K$7:$K$56,"&lt;&gt;")=1,IFERROR(INDEX('Challenge Review'!$K$7:$K$56,MATCH($A42,'Challenge Review'!$A$7:$A$56,0)),""),"")</f>
        <v>Unchecked</v>
      </c>
      <c r="H42" s="14">
        <f>IF(AND(AG42=1,IFERROR(INDEX('Review &amp; Decision'!$B$7:$B$56,MATCH($A42,'Review &amp; Decision'!$A$7:$A$56,0)),"")="Evidence-backed",OR(IFERROR(INDEX('Review &amp; Decision'!$C$7:$C$56,MATCH($A42,'Review &amp; Decision'!$A$7:$A$56,0)),"")="Equivalent or better",AND(IFERROR(INDEX('Review &amp; Decision'!$C$7:$C$56,MATCH($A42,'Review &amp; Decision'!$A$7:$A$56,0)),"")="Accepted reduction",COUNTIFS('Review &amp; Decision'!$A$7:$A$56,$A42,'Review &amp; Decision'!$L$7:$L$56,"&lt;&gt;")=1)),COUNTIFS('Review &amp; Decision'!$A$7:$A$56,$A42,'Review &amp; Decision'!$D$7:$D$56,"&lt;&gt;")=1,COUNTIFS('Review &amp; Decision'!$A$7:$A$56,$A42,'Review &amp; Decision'!$F$7:$F$56,"&lt;&gt;")=1,OR(IFERROR(INDEX('Review &amp; Decision'!$E$7:$E$56,MATCH($A42,'Review &amp; Decision'!$A$7:$A$56,0)),"")="Approved",IFERROR(INDEX('Review &amp; Decision'!$E$7:$E$56,MATCH($A42,'Review &amp; Decision'!$A$7:$A$56,0)),"")="Implemented"),ISNUMBER(IFERROR(INDEX('Review &amp; Decision'!$G$7:$G$56,MATCH($A42,'Review &amp; Decision'!$A$7:$A$56,0)),"")),IFERROR(INDEX('Review &amp; Decision'!$G$7:$G$56,MATCH($A42,'Review &amp; Decision'!$A$7:$A$56,0)),"")&gt;0,IFERROR(INDEX('Review &amp; Decision'!$G$7:$G$56,MATCH($A42,'Review &amp; Decision'!$A$7:$A$56,0)),"")&lt;=Settings!$B$7,ISNUMBER(IFERROR(INDEX('Review &amp; Decision'!$I$7:$I$56,MATCH($A42,'Review &amp; Decision'!$A$7:$A$56,0)),"")),IFERROR(INDEX('Review &amp; Decision'!$I$7:$I$56,MATCH($A42,'Review &amp; Decision'!$A$7:$A$56,0)),"")&gt;0,IFERROR(INDEX('Review &amp; Decision'!$I$7:$I$56,MATCH($A42,'Review &amp; Decision'!$A$7:$A$56,0)),"")&lt;=Settings!$B$7,IFERROR(INDEX('Review &amp; Decision'!$I$7:$I$56,MATCH($A42,'Review &amp; Decision'!$A$7:$A$56,0)),"")&gt;=IFERROR(INDEX('Review &amp; Decision'!$G$7:$G$56,MATCH($A42,'Review &amp; Decision'!$A$7:$A$56,0)),""),COUNTIFS('Review &amp; Decision'!$A$7:$A$56,$A42,'Review &amp; Decision'!$J$7:$J$56,"&lt;&gt;")=1,COUNTIFS('Review &amp; Decision'!$A$7:$A$56,$A42,'Review &amp; Decision'!$K$7:$K$56,"&lt;&gt;")=1,ISNUMBER(IFERROR(INDEX('Review &amp; Decision'!$J$7:$J$56,MATCH($A42,'Review &amp; Decision'!$A$7:$A$56,0)),"")),IFERROR(INDEX('Review &amp; Decision'!$J$7:$J$56,MATCH($A42,'Review &amp; Decision'!$A$7:$A$56,0)),"")&gt;=0,IFERROR(INDEX('Review &amp; Decision'!$J$7:$J$56,MATCH($A42,'Review &amp; Decision'!$A$7:$A$56,0)),"")&lt;=1,ISNUMBER(IFERROR(INDEX('Review &amp; Decision'!$K$7:$K$56,MATCH($A42,'Review &amp; Decision'!$A$7:$A$56,0)),"")),IFERROR(INDEX('Review &amp; Decision'!$K$7:$K$56,MATCH($A42,'Review &amp; Decision'!$A$7:$A$56,0)),"")&gt;=0,IFERROR(INDEX('Review &amp; Decision'!$K$7:$K$56,MATCH($A42,'Review &amp; Decision'!$A$7:$A$56,0)),"")&lt;=1,ISNUMBER(Settings!$B$7),Settings!$B$7&gt;0,OR(Settings!$B$8="Approved + measured",Settings!$B$8="Measured only"),LEN(TRIM(IF(COUNTIFS('Review &amp; Decision'!$A$7:$A$56,$A42,'Review &amp; Decision'!$D$7:$D$56,"&lt;&gt;")=1,IFERROR(INDEX('Review &amp; Decision'!$D$7:$D$56,MATCH($A42,'Review &amp; Decision'!$A$7:$A$56,0)),""),"")))&gt;0,LEN(TRIM(IF(COUNTIFS('Review &amp; Decision'!$A$7:$A$56,$A42,'Review &amp; Decision'!$F$7:$F$56,"&lt;&gt;")=1,IFERROR(INDEX('Review &amp; Decision'!$F$7:$F$56,MATCH($A42,'Review &amp; Decision'!$A$7:$A$56,0)),""),"")))&gt;0,OR(IFERROR(INDEX('Review &amp; Decision'!$C$7:$C$56,MATCH($A42,'Review &amp; Decision'!$A$7:$A$56,0)),"")&lt;&gt;"Accepted reduction",LEN(TRIM(IF(COUNTIFS('Review &amp; Decision'!$A$7:$A$56,$A42,'Review &amp; Decision'!$L$7:$L$56,"&lt;&gt;")=1,IFERROR(INDEX('Review &amp; Decision'!$L$7:$L$56,MATCH($A42,'Review &amp; Decision'!$A$7:$A$56,0)),""),"")))&gt;0)),1,0)</f>
        <v>0</v>
      </c>
      <c r="I42" s="14">
        <f>IF(AND(AG42=1,IFERROR(INDEX(Actuals!$M$7:$M$56,MATCH($A42,Actuals!$A$7:$A$56,0)),"")="Ready",IFERROR(INDEX(Actuals!$D$7:$D$56,MATCH($A42,Actuals!$A$7:$A$56,0)),"")&gt;=IFERROR(INDEX('Review &amp; Decision'!$I$7:$I$56,MATCH($A42,'Review &amp; Decision'!$A$7:$A$56,0)),"")),1,0)</f>
        <v>0</v>
      </c>
      <c r="J42" s="14" t="str">
        <f t="shared" si="12"/>
        <v>Unused slot</v>
      </c>
      <c r="K42" s="14">
        <f t="shared" si="13"/>
        <v>0</v>
      </c>
      <c r="L42" s="14">
        <f t="shared" si="14"/>
        <v>0</v>
      </c>
      <c r="M42" s="14">
        <f>IF(OR(L42=1,AND(K42=1,Settings!$B$8="Approved + measured")),1,0)</f>
        <v>0</v>
      </c>
      <c r="N42" s="14" t="str">
        <f>IF(E42=1,IFERROR(INDEX(Current!$H$7:$H$56,MATCH($A42,Current!$A$7:$A$56,0)),""),"")</f>
        <v/>
      </c>
      <c r="O42" s="14" t="str">
        <f>IF(F42=1,IFERROR(INDEX(Proposed!$I$7:$I$56,MATCH($A42,Proposed!$A$7:$A$56,0)),""),"")</f>
        <v/>
      </c>
      <c r="P42" s="14" t="str">
        <f t="shared" si="15"/>
        <v/>
      </c>
      <c r="Q42" s="14" t="str">
        <f>IF(E42=1,IFERROR(INDEX(Current!$I$7:$I$56,MATCH($A42,Current!$A$7:$A$56,0)),""),"")</f>
        <v/>
      </c>
      <c r="R42" s="14" t="str">
        <f>IF(F42=1,IFERROR(INDEX(Proposed!$J$7:$J$56,MATCH($A42,Proposed!$A$7:$A$56,0)),""),"")</f>
        <v/>
      </c>
      <c r="S42" s="14" t="str">
        <f t="shared" si="16"/>
        <v/>
      </c>
      <c r="T42" s="14" t="str">
        <f>IF(E42=1,IFERROR(INDEX(Current!$E$7:$E$56,MATCH($A42,Current!$A$7:$A$56,0)),""),"")</f>
        <v/>
      </c>
      <c r="U42" s="14" t="str">
        <f>IF(F42=1,IFERROR(INDEX(Proposed!$E$7:$E$56,MATCH($A42,Proposed!$A$7:$A$56,0)),""),"")</f>
        <v/>
      </c>
      <c r="V42" s="14" t="str">
        <f t="shared" si="17"/>
        <v/>
      </c>
      <c r="W42" s="14" t="str">
        <f>IF(E42=1,IFERROR(INDEX(Current!$K$7:$K$56,MATCH($A42,Current!$A$7:$A$56,0)),""),"")</f>
        <v/>
      </c>
      <c r="X42" s="14" t="str">
        <f>IF(F42=1,IFERROR(INDEX(Proposed!$L$7:$L$56,MATCH($A42,Proposed!$A$7:$A$56,0)),""),"")</f>
        <v/>
      </c>
      <c r="Y42" s="14" t="str">
        <f t="shared" si="18"/>
        <v/>
      </c>
      <c r="Z42" s="14" t="str">
        <f>IF(F42=1,IFERROR(INDEX(Proposed!$F$7:$F$56,MATCH($A42,Proposed!$A$7:$A$56,0)),""),"")</f>
        <v/>
      </c>
      <c r="AA42" s="14">
        <f>IF(M42=1,IF(IF(L42=1,AL42,P42)&gt;0,IF(L42=1,AL42,P42)*IFERROR(INDEX('Review &amp; Decision'!$J$7:$J$56,MATCH($A42,'Review &amp; Decision'!$A$7:$A$56,0)),""),IF(L42=1,AL42,P42)),0)</f>
        <v>0</v>
      </c>
      <c r="AB42" s="14">
        <f>IF(M42=1,IF(IF(L42=1,AM42,S42)&gt;0,IF(L42=1,AM42,S42)*IFERROR(INDEX('Review &amp; Decision'!$K$7:$K$56,MATCH($A42,'Review &amp; Decision'!$A$7:$A$56,0)),""),IF(L42=1,AM42,S42)),0)</f>
        <v>0</v>
      </c>
      <c r="AC42" s="14">
        <f t="shared" si="19"/>
        <v>0</v>
      </c>
      <c r="AD42" s="14">
        <f t="shared" si="20"/>
        <v>0</v>
      </c>
      <c r="AE42" s="14">
        <f t="shared" si="21"/>
        <v>0</v>
      </c>
      <c r="AF42" s="14" t="str">
        <f t="shared" si="22"/>
        <v>No measurement warning</v>
      </c>
      <c r="AG42" s="14">
        <f>IF(AND(COUNTIF(Cases!$A$7:$A$56,$A42)=1,COUNTIF(Current!$A$7:$A$56,$A42)=1,COUNTIF(Proposed!$A$7:$A$56,$A42)=1,COUNTIF('Review &amp; Decision'!$A$7:$A$56,$A42)=1,COUNTIF('Challenge Review'!$A$7:$A$56,$A42)=1,COUNTIF(Actuals!$A$7:$A$56,$A42)=1,COUNTIF(Classification!$A$7:$A$56,$A42)=1),1,0)</f>
        <v>1</v>
      </c>
      <c r="AH42" s="14">
        <f t="shared" si="23"/>
        <v>0</v>
      </c>
      <c r="AI42" s="14" t="str">
        <f>IF(COUNTIFS('Review &amp; Decision'!$A$7:$A$56,$A42,'Review &amp; Decision'!$H$7:$H$56,"&lt;&gt;")=1,IFERROR(INDEX('Review &amp; Decision'!$H$7:$H$56,MATCH($A42,'Review &amp; Decision'!$A$7:$A$56,0)),""),"")</f>
        <v/>
      </c>
      <c r="AJ42" s="14" t="str">
        <f>IF(COUNTIFS('Review &amp; Decision'!$A$7:$A$56,$A42,'Review &amp; Decision'!$E$7:$E$56,"&lt;&gt;")=1,IFERROR(INDEX('Review &amp; Decision'!$E$7:$E$56,MATCH($A42,'Review &amp; Decision'!$A$7:$A$56,0)),""),"")</f>
        <v/>
      </c>
      <c r="AK42" s="14" t="str">
        <f>IF(COUNTIFS('Review &amp; Decision'!$A$7:$A$56,$A42,'Review &amp; Decision'!$B$7:$B$56,"&lt;&gt;")=1,IFERROR(INDEX('Review &amp; Decision'!$B$7:$B$56,MATCH($A42,'Review &amp; Decision'!$A$7:$A$56,0)),""),"")</f>
        <v/>
      </c>
      <c r="AL42" s="14" t="str">
        <f>IF(I42=1,IFERROR(INDEX(Actuals!$E$7:$E$56,MATCH($A42,Actuals!$A$7:$A$56,0)),""),"")</f>
        <v/>
      </c>
      <c r="AM42" s="14" t="str">
        <f>IF(I42=1,IFERROR(INDEX(Actuals!$F$7:$F$56,MATCH($A42,Actuals!$A$7:$A$56,0)),""),"")</f>
        <v/>
      </c>
      <c r="AN42" s="14" t="str">
        <f>IF(I42=1,IFERROR(INDEX(Actuals!$G$7:$G$56,MATCH($A42,Actuals!$A$7:$A$56,0)),""),"")</f>
        <v/>
      </c>
      <c r="AO42" s="14" t="str">
        <f>IF(I42=1,IFERROR(INDEX(Actuals!$G$7:$G$56,MATCH($A42,Actuals!$A$7:$A$56,0)),"")+IFERROR(INDEX(Actuals!$H$7:$H$56,MATCH($A42,Actuals!$A$7:$A$56,0)),""),"")</f>
        <v/>
      </c>
      <c r="AP42" s="14" t="str">
        <f>IF(COUNTIFS(Cases!$A$7:$A$56,$A42,Cases!$G$7:$G$56,"&lt;&gt;")=1,IFERROR(INDEX(Cases!$G$7:$G$56,MATCH($A42,Cases!$A$7:$A$56,0)),""),"")</f>
        <v/>
      </c>
    </row>
    <row r="43" spans="1:42" ht="43.9" customHeight="1">
      <c r="A43" s="14" t="s">
        <v>134</v>
      </c>
      <c r="B43" s="14" t="str">
        <f>IF(COUNTIFS(Cases!$A$7:$A$56,$A43,Cases!$B$7:$B$56,"&lt;&gt;")=1,IFERROR(INDEX(Cases!$B$7:$B$56,MATCH($A43,Cases!$A$7:$A$56,0)),""),"")</f>
        <v>Inactive</v>
      </c>
      <c r="C43" s="14" t="str">
        <f>IF(COUNTIFS(Cases!$A$7:$A$56,$A43,Cases!$C$7:$C$56,"&lt;&gt;")=1,IFERROR(INDEX(Cases!$C$7:$C$56,MATCH($A43,Cases!$A$7:$A$56,0)),""),"")</f>
        <v/>
      </c>
      <c r="D43" s="14">
        <f>IF(AND(AG43=1,OR(B43="Example",B43="Live"),OR(AP43="Simplify",AP43="Replace",AP43="Reduce scope",AP43="Retire",AP43="Retain"),COUNTIFS(Cases!$A$7:$A$56,$A43,Cases!$C$7:$C$56,"&lt;&gt;")=1,COUNTIFS(Cases!$A$7:$A$56,$A43,Cases!$D$7:$D$56,"&lt;&gt;")=1,COUNTIFS(Cases!$A$7:$A$56,$A43,Cases!$E$7:$E$56,"&lt;&gt;")=1,COUNTIFS(Cases!$A$7:$A$56,$A43,Cases!$F$7:$F$56,"&lt;&gt;")=1,COUNTIFS(Cases!$A$7:$A$56,$A43,Cases!$H$7:$H$56,"&lt;&gt;")=1,COUNTIFS(Cases!$A$7:$A$56,$A43,Cases!$I$7:$I$56,"&lt;&gt;")=1,LEN(TRIM(IF(COUNTIFS(Cases!$A$7:$A$56,$A43,Cases!$C$7:$C$56,"&lt;&gt;")=1,IFERROR(INDEX(Cases!$C$7:$C$56,MATCH($A43,Cases!$A$7:$A$56,0)),""),"")))&gt;0,LEN(TRIM(IF(COUNTIFS(Cases!$A$7:$A$56,$A43,Cases!$D$7:$D$56,"&lt;&gt;")=1,IFERROR(INDEX(Cases!$D$7:$D$56,MATCH($A43,Cases!$A$7:$A$56,0)),""),"")))&gt;0,LEN(TRIM(IF(COUNTIFS(Cases!$A$7:$A$56,$A43,Cases!$E$7:$E$56,"&lt;&gt;")=1,IFERROR(INDEX(Cases!$E$7:$E$56,MATCH($A43,Cases!$A$7:$A$56,0)),""),"")))&gt;0,LEN(TRIM(IF(COUNTIFS(Cases!$A$7:$A$56,$A43,Cases!$F$7:$F$56,"&lt;&gt;")=1,IFERROR(INDEX(Cases!$F$7:$F$56,MATCH($A43,Cases!$A$7:$A$56,0)),""),"")))&gt;0,LEN(TRIM(IF(COUNTIFS(Cases!$A$7:$A$56,$A43,Cases!$H$7:$H$56,"&lt;&gt;")=1,IFERROR(INDEX(Cases!$H$7:$H$56,MATCH($A43,Cases!$A$7:$A$56,0)),""),"")))&gt;0,LEN(TRIM(IF(COUNTIFS(Cases!$A$7:$A$56,$A43,Cases!$I$7:$I$56,"&lt;&gt;")=1,IFERROR(INDEX(Cases!$I$7:$I$56,MATCH($A43,Cases!$A$7:$A$56,0)),""),"")))&gt;0),1,0)</f>
        <v>0</v>
      </c>
      <c r="E43" s="14">
        <f>IF(AND(AG43=1,IFERROR(INDEX(Current!$G$7:$G$56,MATCH($A43,Current!$A$7:$A$56,0)),"")="Ready"),1,0)</f>
        <v>0</v>
      </c>
      <c r="F43" s="14">
        <f>IF(AND(AG43=1,IFERROR(INDEX(Proposed!$H$7:$H$56,MATCH($A43,Proposed!$A$7:$A$56,0)),"")="Ready",OR(AP43&lt;&gt;"Retain",AND(IFERROR(INDEX(Current!$B$7:$B$56,MATCH($A43,Current!$A$7:$A$56,0)),"")=IFERROR(INDEX(Proposed!$B$7:$B$56,MATCH($A43,Proposed!$A$7:$A$56,0)),""),IFERROR(INDEX(Current!$C$7:$C$56,MATCH($A43,Current!$A$7:$A$56,0)),"")=IFERROR(INDEX(Proposed!$C$7:$C$56,MATCH($A43,Proposed!$A$7:$A$56,0)),""),IFERROR(INDEX(Current!$D$7:$D$56,MATCH($A43,Current!$A$7:$A$56,0)),"")=IFERROR(INDEX(Proposed!$D$7:$D$56,MATCH($A43,Proposed!$A$7:$A$56,0)),""),IFERROR(INDEX(Current!$E$7:$E$56,MATCH($A43,Current!$A$7:$A$56,0)),"")=IFERROR(INDEX(Proposed!$E$7:$E$56,MATCH($A43,Proposed!$A$7:$A$56,0)),"")))),1,0)</f>
        <v>0</v>
      </c>
      <c r="G43" s="14" t="str">
        <f>IF(COUNTIFS('Challenge Review'!$A$7:$A$56,$A43,'Challenge Review'!$K$7:$K$56,"&lt;&gt;")=1,IFERROR(INDEX('Challenge Review'!$K$7:$K$56,MATCH($A43,'Challenge Review'!$A$7:$A$56,0)),""),"")</f>
        <v>Unchecked</v>
      </c>
      <c r="H43" s="14">
        <f>IF(AND(AG43=1,IFERROR(INDEX('Review &amp; Decision'!$B$7:$B$56,MATCH($A43,'Review &amp; Decision'!$A$7:$A$56,0)),"")="Evidence-backed",OR(IFERROR(INDEX('Review &amp; Decision'!$C$7:$C$56,MATCH($A43,'Review &amp; Decision'!$A$7:$A$56,0)),"")="Equivalent or better",AND(IFERROR(INDEX('Review &amp; Decision'!$C$7:$C$56,MATCH($A43,'Review &amp; Decision'!$A$7:$A$56,0)),"")="Accepted reduction",COUNTIFS('Review &amp; Decision'!$A$7:$A$56,$A43,'Review &amp; Decision'!$L$7:$L$56,"&lt;&gt;")=1)),COUNTIFS('Review &amp; Decision'!$A$7:$A$56,$A43,'Review &amp; Decision'!$D$7:$D$56,"&lt;&gt;")=1,COUNTIFS('Review &amp; Decision'!$A$7:$A$56,$A43,'Review &amp; Decision'!$F$7:$F$56,"&lt;&gt;")=1,OR(IFERROR(INDEX('Review &amp; Decision'!$E$7:$E$56,MATCH($A43,'Review &amp; Decision'!$A$7:$A$56,0)),"")="Approved",IFERROR(INDEX('Review &amp; Decision'!$E$7:$E$56,MATCH($A43,'Review &amp; Decision'!$A$7:$A$56,0)),"")="Implemented"),ISNUMBER(IFERROR(INDEX('Review &amp; Decision'!$G$7:$G$56,MATCH($A43,'Review &amp; Decision'!$A$7:$A$56,0)),"")),IFERROR(INDEX('Review &amp; Decision'!$G$7:$G$56,MATCH($A43,'Review &amp; Decision'!$A$7:$A$56,0)),"")&gt;0,IFERROR(INDEX('Review &amp; Decision'!$G$7:$G$56,MATCH($A43,'Review &amp; Decision'!$A$7:$A$56,0)),"")&lt;=Settings!$B$7,ISNUMBER(IFERROR(INDEX('Review &amp; Decision'!$I$7:$I$56,MATCH($A43,'Review &amp; Decision'!$A$7:$A$56,0)),"")),IFERROR(INDEX('Review &amp; Decision'!$I$7:$I$56,MATCH($A43,'Review &amp; Decision'!$A$7:$A$56,0)),"")&gt;0,IFERROR(INDEX('Review &amp; Decision'!$I$7:$I$56,MATCH($A43,'Review &amp; Decision'!$A$7:$A$56,0)),"")&lt;=Settings!$B$7,IFERROR(INDEX('Review &amp; Decision'!$I$7:$I$56,MATCH($A43,'Review &amp; Decision'!$A$7:$A$56,0)),"")&gt;=IFERROR(INDEX('Review &amp; Decision'!$G$7:$G$56,MATCH($A43,'Review &amp; Decision'!$A$7:$A$56,0)),""),COUNTIFS('Review &amp; Decision'!$A$7:$A$56,$A43,'Review &amp; Decision'!$J$7:$J$56,"&lt;&gt;")=1,COUNTIFS('Review &amp; Decision'!$A$7:$A$56,$A43,'Review &amp; Decision'!$K$7:$K$56,"&lt;&gt;")=1,ISNUMBER(IFERROR(INDEX('Review &amp; Decision'!$J$7:$J$56,MATCH($A43,'Review &amp; Decision'!$A$7:$A$56,0)),"")),IFERROR(INDEX('Review &amp; Decision'!$J$7:$J$56,MATCH($A43,'Review &amp; Decision'!$A$7:$A$56,0)),"")&gt;=0,IFERROR(INDEX('Review &amp; Decision'!$J$7:$J$56,MATCH($A43,'Review &amp; Decision'!$A$7:$A$56,0)),"")&lt;=1,ISNUMBER(IFERROR(INDEX('Review &amp; Decision'!$K$7:$K$56,MATCH($A43,'Review &amp; Decision'!$A$7:$A$56,0)),"")),IFERROR(INDEX('Review &amp; Decision'!$K$7:$K$56,MATCH($A43,'Review &amp; Decision'!$A$7:$A$56,0)),"")&gt;=0,IFERROR(INDEX('Review &amp; Decision'!$K$7:$K$56,MATCH($A43,'Review &amp; Decision'!$A$7:$A$56,0)),"")&lt;=1,ISNUMBER(Settings!$B$7),Settings!$B$7&gt;0,OR(Settings!$B$8="Approved + measured",Settings!$B$8="Measured only"),LEN(TRIM(IF(COUNTIFS('Review &amp; Decision'!$A$7:$A$56,$A43,'Review &amp; Decision'!$D$7:$D$56,"&lt;&gt;")=1,IFERROR(INDEX('Review &amp; Decision'!$D$7:$D$56,MATCH($A43,'Review &amp; Decision'!$A$7:$A$56,0)),""),"")))&gt;0,LEN(TRIM(IF(COUNTIFS('Review &amp; Decision'!$A$7:$A$56,$A43,'Review &amp; Decision'!$F$7:$F$56,"&lt;&gt;")=1,IFERROR(INDEX('Review &amp; Decision'!$F$7:$F$56,MATCH($A43,'Review &amp; Decision'!$A$7:$A$56,0)),""),"")))&gt;0,OR(IFERROR(INDEX('Review &amp; Decision'!$C$7:$C$56,MATCH($A43,'Review &amp; Decision'!$A$7:$A$56,0)),"")&lt;&gt;"Accepted reduction",LEN(TRIM(IF(COUNTIFS('Review &amp; Decision'!$A$7:$A$56,$A43,'Review &amp; Decision'!$L$7:$L$56,"&lt;&gt;")=1,IFERROR(INDEX('Review &amp; Decision'!$L$7:$L$56,MATCH($A43,'Review &amp; Decision'!$A$7:$A$56,0)),""),"")))&gt;0)),1,0)</f>
        <v>0</v>
      </c>
      <c r="I43" s="14">
        <f>IF(AND(AG43=1,IFERROR(INDEX(Actuals!$M$7:$M$56,MATCH($A43,Actuals!$A$7:$A$56,0)),"")="Ready",IFERROR(INDEX(Actuals!$D$7:$D$56,MATCH($A43,Actuals!$A$7:$A$56,0)),"")&gt;=IFERROR(INDEX('Review &amp; Decision'!$I$7:$I$56,MATCH($A43,'Review &amp; Decision'!$A$7:$A$56,0)),"")),1,0)</f>
        <v>0</v>
      </c>
      <c r="J43" s="14" t="str">
        <f t="shared" si="12"/>
        <v>Unused slot</v>
      </c>
      <c r="K43" s="14">
        <f t="shared" si="13"/>
        <v>0</v>
      </c>
      <c r="L43" s="14">
        <f t="shared" si="14"/>
        <v>0</v>
      </c>
      <c r="M43" s="14">
        <f>IF(OR(L43=1,AND(K43=1,Settings!$B$8="Approved + measured")),1,0)</f>
        <v>0</v>
      </c>
      <c r="N43" s="14" t="str">
        <f>IF(E43=1,IFERROR(INDEX(Current!$H$7:$H$56,MATCH($A43,Current!$A$7:$A$56,0)),""),"")</f>
        <v/>
      </c>
      <c r="O43" s="14" t="str">
        <f>IF(F43=1,IFERROR(INDEX(Proposed!$I$7:$I$56,MATCH($A43,Proposed!$A$7:$A$56,0)),""),"")</f>
        <v/>
      </c>
      <c r="P43" s="14" t="str">
        <f t="shared" si="15"/>
        <v/>
      </c>
      <c r="Q43" s="14" t="str">
        <f>IF(E43=1,IFERROR(INDEX(Current!$I$7:$I$56,MATCH($A43,Current!$A$7:$A$56,0)),""),"")</f>
        <v/>
      </c>
      <c r="R43" s="14" t="str">
        <f>IF(F43=1,IFERROR(INDEX(Proposed!$J$7:$J$56,MATCH($A43,Proposed!$A$7:$A$56,0)),""),"")</f>
        <v/>
      </c>
      <c r="S43" s="14" t="str">
        <f t="shared" si="16"/>
        <v/>
      </c>
      <c r="T43" s="14" t="str">
        <f>IF(E43=1,IFERROR(INDEX(Current!$E$7:$E$56,MATCH($A43,Current!$A$7:$A$56,0)),""),"")</f>
        <v/>
      </c>
      <c r="U43" s="14" t="str">
        <f>IF(F43=1,IFERROR(INDEX(Proposed!$E$7:$E$56,MATCH($A43,Proposed!$A$7:$A$56,0)),""),"")</f>
        <v/>
      </c>
      <c r="V43" s="14" t="str">
        <f t="shared" si="17"/>
        <v/>
      </c>
      <c r="W43" s="14" t="str">
        <f>IF(E43=1,IFERROR(INDEX(Current!$K$7:$K$56,MATCH($A43,Current!$A$7:$A$56,0)),""),"")</f>
        <v/>
      </c>
      <c r="X43" s="14" t="str">
        <f>IF(F43=1,IFERROR(INDEX(Proposed!$L$7:$L$56,MATCH($A43,Proposed!$A$7:$A$56,0)),""),"")</f>
        <v/>
      </c>
      <c r="Y43" s="14" t="str">
        <f t="shared" si="18"/>
        <v/>
      </c>
      <c r="Z43" s="14" t="str">
        <f>IF(F43=1,IFERROR(INDEX(Proposed!$F$7:$F$56,MATCH($A43,Proposed!$A$7:$A$56,0)),""),"")</f>
        <v/>
      </c>
      <c r="AA43" s="14">
        <f>IF(M43=1,IF(IF(L43=1,AL43,P43)&gt;0,IF(L43=1,AL43,P43)*IFERROR(INDEX('Review &amp; Decision'!$J$7:$J$56,MATCH($A43,'Review &amp; Decision'!$A$7:$A$56,0)),""),IF(L43=1,AL43,P43)),0)</f>
        <v>0</v>
      </c>
      <c r="AB43" s="14">
        <f>IF(M43=1,IF(IF(L43=1,AM43,S43)&gt;0,IF(L43=1,AM43,S43)*IFERROR(INDEX('Review &amp; Decision'!$K$7:$K$56,MATCH($A43,'Review &amp; Decision'!$A$7:$A$56,0)),""),IF(L43=1,AM43,S43)),0)</f>
        <v>0</v>
      </c>
      <c r="AC43" s="14">
        <f t="shared" si="19"/>
        <v>0</v>
      </c>
      <c r="AD43" s="14">
        <f t="shared" si="20"/>
        <v>0</v>
      </c>
      <c r="AE43" s="14">
        <f t="shared" si="21"/>
        <v>0</v>
      </c>
      <c r="AF43" s="14" t="str">
        <f t="shared" si="22"/>
        <v>No measurement warning</v>
      </c>
      <c r="AG43" s="14">
        <f>IF(AND(COUNTIF(Cases!$A$7:$A$56,$A43)=1,COUNTIF(Current!$A$7:$A$56,$A43)=1,COUNTIF(Proposed!$A$7:$A$56,$A43)=1,COUNTIF('Review &amp; Decision'!$A$7:$A$56,$A43)=1,COUNTIF('Challenge Review'!$A$7:$A$56,$A43)=1,COUNTIF(Actuals!$A$7:$A$56,$A43)=1,COUNTIF(Classification!$A$7:$A$56,$A43)=1),1,0)</f>
        <v>1</v>
      </c>
      <c r="AH43" s="14">
        <f t="shared" si="23"/>
        <v>0</v>
      </c>
      <c r="AI43" s="14" t="str">
        <f>IF(COUNTIFS('Review &amp; Decision'!$A$7:$A$56,$A43,'Review &amp; Decision'!$H$7:$H$56,"&lt;&gt;")=1,IFERROR(INDEX('Review &amp; Decision'!$H$7:$H$56,MATCH($A43,'Review &amp; Decision'!$A$7:$A$56,0)),""),"")</f>
        <v/>
      </c>
      <c r="AJ43" s="14" t="str">
        <f>IF(COUNTIFS('Review &amp; Decision'!$A$7:$A$56,$A43,'Review &amp; Decision'!$E$7:$E$56,"&lt;&gt;")=1,IFERROR(INDEX('Review &amp; Decision'!$E$7:$E$56,MATCH($A43,'Review &amp; Decision'!$A$7:$A$56,0)),""),"")</f>
        <v/>
      </c>
      <c r="AK43" s="14" t="str">
        <f>IF(COUNTIFS('Review &amp; Decision'!$A$7:$A$56,$A43,'Review &amp; Decision'!$B$7:$B$56,"&lt;&gt;")=1,IFERROR(INDEX('Review &amp; Decision'!$B$7:$B$56,MATCH($A43,'Review &amp; Decision'!$A$7:$A$56,0)),""),"")</f>
        <v/>
      </c>
      <c r="AL43" s="14" t="str">
        <f>IF(I43=1,IFERROR(INDEX(Actuals!$E$7:$E$56,MATCH($A43,Actuals!$A$7:$A$56,0)),""),"")</f>
        <v/>
      </c>
      <c r="AM43" s="14" t="str">
        <f>IF(I43=1,IFERROR(INDEX(Actuals!$F$7:$F$56,MATCH($A43,Actuals!$A$7:$A$56,0)),""),"")</f>
        <v/>
      </c>
      <c r="AN43" s="14" t="str">
        <f>IF(I43=1,IFERROR(INDEX(Actuals!$G$7:$G$56,MATCH($A43,Actuals!$A$7:$A$56,0)),""),"")</f>
        <v/>
      </c>
      <c r="AO43" s="14" t="str">
        <f>IF(I43=1,IFERROR(INDEX(Actuals!$G$7:$G$56,MATCH($A43,Actuals!$A$7:$A$56,0)),"")+IFERROR(INDEX(Actuals!$H$7:$H$56,MATCH($A43,Actuals!$A$7:$A$56,0)),""),"")</f>
        <v/>
      </c>
      <c r="AP43" s="14" t="str">
        <f>IF(COUNTIFS(Cases!$A$7:$A$56,$A43,Cases!$G$7:$G$56,"&lt;&gt;")=1,IFERROR(INDEX(Cases!$G$7:$G$56,MATCH($A43,Cases!$A$7:$A$56,0)),""),"")</f>
        <v/>
      </c>
    </row>
    <row r="44" spans="1:42" ht="43.9" customHeight="1">
      <c r="A44" s="14" t="s">
        <v>135</v>
      </c>
      <c r="B44" s="14" t="str">
        <f>IF(COUNTIFS(Cases!$A$7:$A$56,$A44,Cases!$B$7:$B$56,"&lt;&gt;")=1,IFERROR(INDEX(Cases!$B$7:$B$56,MATCH($A44,Cases!$A$7:$A$56,0)),""),"")</f>
        <v>Inactive</v>
      </c>
      <c r="C44" s="14" t="str">
        <f>IF(COUNTIFS(Cases!$A$7:$A$56,$A44,Cases!$C$7:$C$56,"&lt;&gt;")=1,IFERROR(INDEX(Cases!$C$7:$C$56,MATCH($A44,Cases!$A$7:$A$56,0)),""),"")</f>
        <v/>
      </c>
      <c r="D44" s="14">
        <f>IF(AND(AG44=1,OR(B44="Example",B44="Live"),OR(AP44="Simplify",AP44="Replace",AP44="Reduce scope",AP44="Retire",AP44="Retain"),COUNTIFS(Cases!$A$7:$A$56,$A44,Cases!$C$7:$C$56,"&lt;&gt;")=1,COUNTIFS(Cases!$A$7:$A$56,$A44,Cases!$D$7:$D$56,"&lt;&gt;")=1,COUNTIFS(Cases!$A$7:$A$56,$A44,Cases!$E$7:$E$56,"&lt;&gt;")=1,COUNTIFS(Cases!$A$7:$A$56,$A44,Cases!$F$7:$F$56,"&lt;&gt;")=1,COUNTIFS(Cases!$A$7:$A$56,$A44,Cases!$H$7:$H$56,"&lt;&gt;")=1,COUNTIFS(Cases!$A$7:$A$56,$A44,Cases!$I$7:$I$56,"&lt;&gt;")=1,LEN(TRIM(IF(COUNTIFS(Cases!$A$7:$A$56,$A44,Cases!$C$7:$C$56,"&lt;&gt;")=1,IFERROR(INDEX(Cases!$C$7:$C$56,MATCH($A44,Cases!$A$7:$A$56,0)),""),"")))&gt;0,LEN(TRIM(IF(COUNTIFS(Cases!$A$7:$A$56,$A44,Cases!$D$7:$D$56,"&lt;&gt;")=1,IFERROR(INDEX(Cases!$D$7:$D$56,MATCH($A44,Cases!$A$7:$A$56,0)),""),"")))&gt;0,LEN(TRIM(IF(COUNTIFS(Cases!$A$7:$A$56,$A44,Cases!$E$7:$E$56,"&lt;&gt;")=1,IFERROR(INDEX(Cases!$E$7:$E$56,MATCH($A44,Cases!$A$7:$A$56,0)),""),"")))&gt;0,LEN(TRIM(IF(COUNTIFS(Cases!$A$7:$A$56,$A44,Cases!$F$7:$F$56,"&lt;&gt;")=1,IFERROR(INDEX(Cases!$F$7:$F$56,MATCH($A44,Cases!$A$7:$A$56,0)),""),"")))&gt;0,LEN(TRIM(IF(COUNTIFS(Cases!$A$7:$A$56,$A44,Cases!$H$7:$H$56,"&lt;&gt;")=1,IFERROR(INDEX(Cases!$H$7:$H$56,MATCH($A44,Cases!$A$7:$A$56,0)),""),"")))&gt;0,LEN(TRIM(IF(COUNTIFS(Cases!$A$7:$A$56,$A44,Cases!$I$7:$I$56,"&lt;&gt;")=1,IFERROR(INDEX(Cases!$I$7:$I$56,MATCH($A44,Cases!$A$7:$A$56,0)),""),"")))&gt;0),1,0)</f>
        <v>0</v>
      </c>
      <c r="E44" s="14">
        <f>IF(AND(AG44=1,IFERROR(INDEX(Current!$G$7:$G$56,MATCH($A44,Current!$A$7:$A$56,0)),"")="Ready"),1,0)</f>
        <v>0</v>
      </c>
      <c r="F44" s="14">
        <f>IF(AND(AG44=1,IFERROR(INDEX(Proposed!$H$7:$H$56,MATCH($A44,Proposed!$A$7:$A$56,0)),"")="Ready",OR(AP44&lt;&gt;"Retain",AND(IFERROR(INDEX(Current!$B$7:$B$56,MATCH($A44,Current!$A$7:$A$56,0)),"")=IFERROR(INDEX(Proposed!$B$7:$B$56,MATCH($A44,Proposed!$A$7:$A$56,0)),""),IFERROR(INDEX(Current!$C$7:$C$56,MATCH($A44,Current!$A$7:$A$56,0)),"")=IFERROR(INDEX(Proposed!$C$7:$C$56,MATCH($A44,Proposed!$A$7:$A$56,0)),""),IFERROR(INDEX(Current!$D$7:$D$56,MATCH($A44,Current!$A$7:$A$56,0)),"")=IFERROR(INDEX(Proposed!$D$7:$D$56,MATCH($A44,Proposed!$A$7:$A$56,0)),""),IFERROR(INDEX(Current!$E$7:$E$56,MATCH($A44,Current!$A$7:$A$56,0)),"")=IFERROR(INDEX(Proposed!$E$7:$E$56,MATCH($A44,Proposed!$A$7:$A$56,0)),"")))),1,0)</f>
        <v>0</v>
      </c>
      <c r="G44" s="14" t="str">
        <f>IF(COUNTIFS('Challenge Review'!$A$7:$A$56,$A44,'Challenge Review'!$K$7:$K$56,"&lt;&gt;")=1,IFERROR(INDEX('Challenge Review'!$K$7:$K$56,MATCH($A44,'Challenge Review'!$A$7:$A$56,0)),""),"")</f>
        <v>Unchecked</v>
      </c>
      <c r="H44" s="14">
        <f>IF(AND(AG44=1,IFERROR(INDEX('Review &amp; Decision'!$B$7:$B$56,MATCH($A44,'Review &amp; Decision'!$A$7:$A$56,0)),"")="Evidence-backed",OR(IFERROR(INDEX('Review &amp; Decision'!$C$7:$C$56,MATCH($A44,'Review &amp; Decision'!$A$7:$A$56,0)),"")="Equivalent or better",AND(IFERROR(INDEX('Review &amp; Decision'!$C$7:$C$56,MATCH($A44,'Review &amp; Decision'!$A$7:$A$56,0)),"")="Accepted reduction",COUNTIFS('Review &amp; Decision'!$A$7:$A$56,$A44,'Review &amp; Decision'!$L$7:$L$56,"&lt;&gt;")=1)),COUNTIFS('Review &amp; Decision'!$A$7:$A$56,$A44,'Review &amp; Decision'!$D$7:$D$56,"&lt;&gt;")=1,COUNTIFS('Review &amp; Decision'!$A$7:$A$56,$A44,'Review &amp; Decision'!$F$7:$F$56,"&lt;&gt;")=1,OR(IFERROR(INDEX('Review &amp; Decision'!$E$7:$E$56,MATCH($A44,'Review &amp; Decision'!$A$7:$A$56,0)),"")="Approved",IFERROR(INDEX('Review &amp; Decision'!$E$7:$E$56,MATCH($A44,'Review &amp; Decision'!$A$7:$A$56,0)),"")="Implemented"),ISNUMBER(IFERROR(INDEX('Review &amp; Decision'!$G$7:$G$56,MATCH($A44,'Review &amp; Decision'!$A$7:$A$56,0)),"")),IFERROR(INDEX('Review &amp; Decision'!$G$7:$G$56,MATCH($A44,'Review &amp; Decision'!$A$7:$A$56,0)),"")&gt;0,IFERROR(INDEX('Review &amp; Decision'!$G$7:$G$56,MATCH($A44,'Review &amp; Decision'!$A$7:$A$56,0)),"")&lt;=Settings!$B$7,ISNUMBER(IFERROR(INDEX('Review &amp; Decision'!$I$7:$I$56,MATCH($A44,'Review &amp; Decision'!$A$7:$A$56,0)),"")),IFERROR(INDEX('Review &amp; Decision'!$I$7:$I$56,MATCH($A44,'Review &amp; Decision'!$A$7:$A$56,0)),"")&gt;0,IFERROR(INDEX('Review &amp; Decision'!$I$7:$I$56,MATCH($A44,'Review &amp; Decision'!$A$7:$A$56,0)),"")&lt;=Settings!$B$7,IFERROR(INDEX('Review &amp; Decision'!$I$7:$I$56,MATCH($A44,'Review &amp; Decision'!$A$7:$A$56,0)),"")&gt;=IFERROR(INDEX('Review &amp; Decision'!$G$7:$G$56,MATCH($A44,'Review &amp; Decision'!$A$7:$A$56,0)),""),COUNTIFS('Review &amp; Decision'!$A$7:$A$56,$A44,'Review &amp; Decision'!$J$7:$J$56,"&lt;&gt;")=1,COUNTIFS('Review &amp; Decision'!$A$7:$A$56,$A44,'Review &amp; Decision'!$K$7:$K$56,"&lt;&gt;")=1,ISNUMBER(IFERROR(INDEX('Review &amp; Decision'!$J$7:$J$56,MATCH($A44,'Review &amp; Decision'!$A$7:$A$56,0)),"")),IFERROR(INDEX('Review &amp; Decision'!$J$7:$J$56,MATCH($A44,'Review &amp; Decision'!$A$7:$A$56,0)),"")&gt;=0,IFERROR(INDEX('Review &amp; Decision'!$J$7:$J$56,MATCH($A44,'Review &amp; Decision'!$A$7:$A$56,0)),"")&lt;=1,ISNUMBER(IFERROR(INDEX('Review &amp; Decision'!$K$7:$K$56,MATCH($A44,'Review &amp; Decision'!$A$7:$A$56,0)),"")),IFERROR(INDEX('Review &amp; Decision'!$K$7:$K$56,MATCH($A44,'Review &amp; Decision'!$A$7:$A$56,0)),"")&gt;=0,IFERROR(INDEX('Review &amp; Decision'!$K$7:$K$56,MATCH($A44,'Review &amp; Decision'!$A$7:$A$56,0)),"")&lt;=1,ISNUMBER(Settings!$B$7),Settings!$B$7&gt;0,OR(Settings!$B$8="Approved + measured",Settings!$B$8="Measured only"),LEN(TRIM(IF(COUNTIFS('Review &amp; Decision'!$A$7:$A$56,$A44,'Review &amp; Decision'!$D$7:$D$56,"&lt;&gt;")=1,IFERROR(INDEX('Review &amp; Decision'!$D$7:$D$56,MATCH($A44,'Review &amp; Decision'!$A$7:$A$56,0)),""),"")))&gt;0,LEN(TRIM(IF(COUNTIFS('Review &amp; Decision'!$A$7:$A$56,$A44,'Review &amp; Decision'!$F$7:$F$56,"&lt;&gt;")=1,IFERROR(INDEX('Review &amp; Decision'!$F$7:$F$56,MATCH($A44,'Review &amp; Decision'!$A$7:$A$56,0)),""),"")))&gt;0,OR(IFERROR(INDEX('Review &amp; Decision'!$C$7:$C$56,MATCH($A44,'Review &amp; Decision'!$A$7:$A$56,0)),"")&lt;&gt;"Accepted reduction",LEN(TRIM(IF(COUNTIFS('Review &amp; Decision'!$A$7:$A$56,$A44,'Review &amp; Decision'!$L$7:$L$56,"&lt;&gt;")=1,IFERROR(INDEX('Review &amp; Decision'!$L$7:$L$56,MATCH($A44,'Review &amp; Decision'!$A$7:$A$56,0)),""),"")))&gt;0)),1,0)</f>
        <v>0</v>
      </c>
      <c r="I44" s="14">
        <f>IF(AND(AG44=1,IFERROR(INDEX(Actuals!$M$7:$M$56,MATCH($A44,Actuals!$A$7:$A$56,0)),"")="Ready",IFERROR(INDEX(Actuals!$D$7:$D$56,MATCH($A44,Actuals!$A$7:$A$56,0)),"")&gt;=IFERROR(INDEX('Review &amp; Decision'!$I$7:$I$56,MATCH($A44,'Review &amp; Decision'!$A$7:$A$56,0)),"")),1,0)</f>
        <v>0</v>
      </c>
      <c r="J44" s="14" t="str">
        <f t="shared" si="12"/>
        <v>Unused slot</v>
      </c>
      <c r="K44" s="14">
        <f t="shared" si="13"/>
        <v>0</v>
      </c>
      <c r="L44" s="14">
        <f t="shared" si="14"/>
        <v>0</v>
      </c>
      <c r="M44" s="14">
        <f>IF(OR(L44=1,AND(K44=1,Settings!$B$8="Approved + measured")),1,0)</f>
        <v>0</v>
      </c>
      <c r="N44" s="14" t="str">
        <f>IF(E44=1,IFERROR(INDEX(Current!$H$7:$H$56,MATCH($A44,Current!$A$7:$A$56,0)),""),"")</f>
        <v/>
      </c>
      <c r="O44" s="14" t="str">
        <f>IF(F44=1,IFERROR(INDEX(Proposed!$I$7:$I$56,MATCH($A44,Proposed!$A$7:$A$56,0)),""),"")</f>
        <v/>
      </c>
      <c r="P44" s="14" t="str">
        <f t="shared" si="15"/>
        <v/>
      </c>
      <c r="Q44" s="14" t="str">
        <f>IF(E44=1,IFERROR(INDEX(Current!$I$7:$I$56,MATCH($A44,Current!$A$7:$A$56,0)),""),"")</f>
        <v/>
      </c>
      <c r="R44" s="14" t="str">
        <f>IF(F44=1,IFERROR(INDEX(Proposed!$J$7:$J$56,MATCH($A44,Proposed!$A$7:$A$56,0)),""),"")</f>
        <v/>
      </c>
      <c r="S44" s="14" t="str">
        <f t="shared" si="16"/>
        <v/>
      </c>
      <c r="T44" s="14" t="str">
        <f>IF(E44=1,IFERROR(INDEX(Current!$E$7:$E$56,MATCH($A44,Current!$A$7:$A$56,0)),""),"")</f>
        <v/>
      </c>
      <c r="U44" s="14" t="str">
        <f>IF(F44=1,IFERROR(INDEX(Proposed!$E$7:$E$56,MATCH($A44,Proposed!$A$7:$A$56,0)),""),"")</f>
        <v/>
      </c>
      <c r="V44" s="14" t="str">
        <f t="shared" si="17"/>
        <v/>
      </c>
      <c r="W44" s="14" t="str">
        <f>IF(E44=1,IFERROR(INDEX(Current!$K$7:$K$56,MATCH($A44,Current!$A$7:$A$56,0)),""),"")</f>
        <v/>
      </c>
      <c r="X44" s="14" t="str">
        <f>IF(F44=1,IFERROR(INDEX(Proposed!$L$7:$L$56,MATCH($A44,Proposed!$A$7:$A$56,0)),""),"")</f>
        <v/>
      </c>
      <c r="Y44" s="14" t="str">
        <f t="shared" si="18"/>
        <v/>
      </c>
      <c r="Z44" s="14" t="str">
        <f>IF(F44=1,IFERROR(INDEX(Proposed!$F$7:$F$56,MATCH($A44,Proposed!$A$7:$A$56,0)),""),"")</f>
        <v/>
      </c>
      <c r="AA44" s="14">
        <f>IF(M44=1,IF(IF(L44=1,AL44,P44)&gt;0,IF(L44=1,AL44,P44)*IFERROR(INDEX('Review &amp; Decision'!$J$7:$J$56,MATCH($A44,'Review &amp; Decision'!$A$7:$A$56,0)),""),IF(L44=1,AL44,P44)),0)</f>
        <v>0</v>
      </c>
      <c r="AB44" s="14">
        <f>IF(M44=1,IF(IF(L44=1,AM44,S44)&gt;0,IF(L44=1,AM44,S44)*IFERROR(INDEX('Review &amp; Decision'!$K$7:$K$56,MATCH($A44,'Review &amp; Decision'!$A$7:$A$56,0)),""),IF(L44=1,AM44,S44)),0)</f>
        <v>0</v>
      </c>
      <c r="AC44" s="14">
        <f t="shared" si="19"/>
        <v>0</v>
      </c>
      <c r="AD44" s="14">
        <f t="shared" si="20"/>
        <v>0</v>
      </c>
      <c r="AE44" s="14">
        <f t="shared" si="21"/>
        <v>0</v>
      </c>
      <c r="AF44" s="14" t="str">
        <f t="shared" si="22"/>
        <v>No measurement warning</v>
      </c>
      <c r="AG44" s="14">
        <f>IF(AND(COUNTIF(Cases!$A$7:$A$56,$A44)=1,COUNTIF(Current!$A$7:$A$56,$A44)=1,COUNTIF(Proposed!$A$7:$A$56,$A44)=1,COUNTIF('Review &amp; Decision'!$A$7:$A$56,$A44)=1,COUNTIF('Challenge Review'!$A$7:$A$56,$A44)=1,COUNTIF(Actuals!$A$7:$A$56,$A44)=1,COUNTIF(Classification!$A$7:$A$56,$A44)=1),1,0)</f>
        <v>1</v>
      </c>
      <c r="AH44" s="14">
        <f t="shared" si="23"/>
        <v>0</v>
      </c>
      <c r="AI44" s="14" t="str">
        <f>IF(COUNTIFS('Review &amp; Decision'!$A$7:$A$56,$A44,'Review &amp; Decision'!$H$7:$H$56,"&lt;&gt;")=1,IFERROR(INDEX('Review &amp; Decision'!$H$7:$H$56,MATCH($A44,'Review &amp; Decision'!$A$7:$A$56,0)),""),"")</f>
        <v/>
      </c>
      <c r="AJ44" s="14" t="str">
        <f>IF(COUNTIFS('Review &amp; Decision'!$A$7:$A$56,$A44,'Review &amp; Decision'!$E$7:$E$56,"&lt;&gt;")=1,IFERROR(INDEX('Review &amp; Decision'!$E$7:$E$56,MATCH($A44,'Review &amp; Decision'!$A$7:$A$56,0)),""),"")</f>
        <v/>
      </c>
      <c r="AK44" s="14" t="str">
        <f>IF(COUNTIFS('Review &amp; Decision'!$A$7:$A$56,$A44,'Review &amp; Decision'!$B$7:$B$56,"&lt;&gt;")=1,IFERROR(INDEX('Review &amp; Decision'!$B$7:$B$56,MATCH($A44,'Review &amp; Decision'!$A$7:$A$56,0)),""),"")</f>
        <v/>
      </c>
      <c r="AL44" s="14" t="str">
        <f>IF(I44=1,IFERROR(INDEX(Actuals!$E$7:$E$56,MATCH($A44,Actuals!$A$7:$A$56,0)),""),"")</f>
        <v/>
      </c>
      <c r="AM44" s="14" t="str">
        <f>IF(I44=1,IFERROR(INDEX(Actuals!$F$7:$F$56,MATCH($A44,Actuals!$A$7:$A$56,0)),""),"")</f>
        <v/>
      </c>
      <c r="AN44" s="14" t="str">
        <f>IF(I44=1,IFERROR(INDEX(Actuals!$G$7:$G$56,MATCH($A44,Actuals!$A$7:$A$56,0)),""),"")</f>
        <v/>
      </c>
      <c r="AO44" s="14" t="str">
        <f>IF(I44=1,IFERROR(INDEX(Actuals!$G$7:$G$56,MATCH($A44,Actuals!$A$7:$A$56,0)),"")+IFERROR(INDEX(Actuals!$H$7:$H$56,MATCH($A44,Actuals!$A$7:$A$56,0)),""),"")</f>
        <v/>
      </c>
      <c r="AP44" s="14" t="str">
        <f>IF(COUNTIFS(Cases!$A$7:$A$56,$A44,Cases!$G$7:$G$56,"&lt;&gt;")=1,IFERROR(INDEX(Cases!$G$7:$G$56,MATCH($A44,Cases!$A$7:$A$56,0)),""),"")</f>
        <v/>
      </c>
    </row>
    <row r="45" spans="1:42" ht="43.9" customHeight="1">
      <c r="A45" s="14" t="s">
        <v>136</v>
      </c>
      <c r="B45" s="14" t="str">
        <f>IF(COUNTIFS(Cases!$A$7:$A$56,$A45,Cases!$B$7:$B$56,"&lt;&gt;")=1,IFERROR(INDEX(Cases!$B$7:$B$56,MATCH($A45,Cases!$A$7:$A$56,0)),""),"")</f>
        <v>Inactive</v>
      </c>
      <c r="C45" s="14" t="str">
        <f>IF(COUNTIFS(Cases!$A$7:$A$56,$A45,Cases!$C$7:$C$56,"&lt;&gt;")=1,IFERROR(INDEX(Cases!$C$7:$C$56,MATCH($A45,Cases!$A$7:$A$56,0)),""),"")</f>
        <v/>
      </c>
      <c r="D45" s="14">
        <f>IF(AND(AG45=1,OR(B45="Example",B45="Live"),OR(AP45="Simplify",AP45="Replace",AP45="Reduce scope",AP45="Retire",AP45="Retain"),COUNTIFS(Cases!$A$7:$A$56,$A45,Cases!$C$7:$C$56,"&lt;&gt;")=1,COUNTIFS(Cases!$A$7:$A$56,$A45,Cases!$D$7:$D$56,"&lt;&gt;")=1,COUNTIFS(Cases!$A$7:$A$56,$A45,Cases!$E$7:$E$56,"&lt;&gt;")=1,COUNTIFS(Cases!$A$7:$A$56,$A45,Cases!$F$7:$F$56,"&lt;&gt;")=1,COUNTIFS(Cases!$A$7:$A$56,$A45,Cases!$H$7:$H$56,"&lt;&gt;")=1,COUNTIFS(Cases!$A$7:$A$56,$A45,Cases!$I$7:$I$56,"&lt;&gt;")=1,LEN(TRIM(IF(COUNTIFS(Cases!$A$7:$A$56,$A45,Cases!$C$7:$C$56,"&lt;&gt;")=1,IFERROR(INDEX(Cases!$C$7:$C$56,MATCH($A45,Cases!$A$7:$A$56,0)),""),"")))&gt;0,LEN(TRIM(IF(COUNTIFS(Cases!$A$7:$A$56,$A45,Cases!$D$7:$D$56,"&lt;&gt;")=1,IFERROR(INDEX(Cases!$D$7:$D$56,MATCH($A45,Cases!$A$7:$A$56,0)),""),"")))&gt;0,LEN(TRIM(IF(COUNTIFS(Cases!$A$7:$A$56,$A45,Cases!$E$7:$E$56,"&lt;&gt;")=1,IFERROR(INDEX(Cases!$E$7:$E$56,MATCH($A45,Cases!$A$7:$A$56,0)),""),"")))&gt;0,LEN(TRIM(IF(COUNTIFS(Cases!$A$7:$A$56,$A45,Cases!$F$7:$F$56,"&lt;&gt;")=1,IFERROR(INDEX(Cases!$F$7:$F$56,MATCH($A45,Cases!$A$7:$A$56,0)),""),"")))&gt;0,LEN(TRIM(IF(COUNTIFS(Cases!$A$7:$A$56,$A45,Cases!$H$7:$H$56,"&lt;&gt;")=1,IFERROR(INDEX(Cases!$H$7:$H$56,MATCH($A45,Cases!$A$7:$A$56,0)),""),"")))&gt;0,LEN(TRIM(IF(COUNTIFS(Cases!$A$7:$A$56,$A45,Cases!$I$7:$I$56,"&lt;&gt;")=1,IFERROR(INDEX(Cases!$I$7:$I$56,MATCH($A45,Cases!$A$7:$A$56,0)),""),"")))&gt;0),1,0)</f>
        <v>0</v>
      </c>
      <c r="E45" s="14">
        <f>IF(AND(AG45=1,IFERROR(INDEX(Current!$G$7:$G$56,MATCH($A45,Current!$A$7:$A$56,0)),"")="Ready"),1,0)</f>
        <v>0</v>
      </c>
      <c r="F45" s="14">
        <f>IF(AND(AG45=1,IFERROR(INDEX(Proposed!$H$7:$H$56,MATCH($A45,Proposed!$A$7:$A$56,0)),"")="Ready",OR(AP45&lt;&gt;"Retain",AND(IFERROR(INDEX(Current!$B$7:$B$56,MATCH($A45,Current!$A$7:$A$56,0)),"")=IFERROR(INDEX(Proposed!$B$7:$B$56,MATCH($A45,Proposed!$A$7:$A$56,0)),""),IFERROR(INDEX(Current!$C$7:$C$56,MATCH($A45,Current!$A$7:$A$56,0)),"")=IFERROR(INDEX(Proposed!$C$7:$C$56,MATCH($A45,Proposed!$A$7:$A$56,0)),""),IFERROR(INDEX(Current!$D$7:$D$56,MATCH($A45,Current!$A$7:$A$56,0)),"")=IFERROR(INDEX(Proposed!$D$7:$D$56,MATCH($A45,Proposed!$A$7:$A$56,0)),""),IFERROR(INDEX(Current!$E$7:$E$56,MATCH($A45,Current!$A$7:$A$56,0)),"")=IFERROR(INDEX(Proposed!$E$7:$E$56,MATCH($A45,Proposed!$A$7:$A$56,0)),"")))),1,0)</f>
        <v>0</v>
      </c>
      <c r="G45" s="14" t="str">
        <f>IF(COUNTIFS('Challenge Review'!$A$7:$A$56,$A45,'Challenge Review'!$K$7:$K$56,"&lt;&gt;")=1,IFERROR(INDEX('Challenge Review'!$K$7:$K$56,MATCH($A45,'Challenge Review'!$A$7:$A$56,0)),""),"")</f>
        <v>Unchecked</v>
      </c>
      <c r="H45" s="14">
        <f>IF(AND(AG45=1,IFERROR(INDEX('Review &amp; Decision'!$B$7:$B$56,MATCH($A45,'Review &amp; Decision'!$A$7:$A$56,0)),"")="Evidence-backed",OR(IFERROR(INDEX('Review &amp; Decision'!$C$7:$C$56,MATCH($A45,'Review &amp; Decision'!$A$7:$A$56,0)),"")="Equivalent or better",AND(IFERROR(INDEX('Review &amp; Decision'!$C$7:$C$56,MATCH($A45,'Review &amp; Decision'!$A$7:$A$56,0)),"")="Accepted reduction",COUNTIFS('Review &amp; Decision'!$A$7:$A$56,$A45,'Review &amp; Decision'!$L$7:$L$56,"&lt;&gt;")=1)),COUNTIFS('Review &amp; Decision'!$A$7:$A$56,$A45,'Review &amp; Decision'!$D$7:$D$56,"&lt;&gt;")=1,COUNTIFS('Review &amp; Decision'!$A$7:$A$56,$A45,'Review &amp; Decision'!$F$7:$F$56,"&lt;&gt;")=1,OR(IFERROR(INDEX('Review &amp; Decision'!$E$7:$E$56,MATCH($A45,'Review &amp; Decision'!$A$7:$A$56,0)),"")="Approved",IFERROR(INDEX('Review &amp; Decision'!$E$7:$E$56,MATCH($A45,'Review &amp; Decision'!$A$7:$A$56,0)),"")="Implemented"),ISNUMBER(IFERROR(INDEX('Review &amp; Decision'!$G$7:$G$56,MATCH($A45,'Review &amp; Decision'!$A$7:$A$56,0)),"")),IFERROR(INDEX('Review &amp; Decision'!$G$7:$G$56,MATCH($A45,'Review &amp; Decision'!$A$7:$A$56,0)),"")&gt;0,IFERROR(INDEX('Review &amp; Decision'!$G$7:$G$56,MATCH($A45,'Review &amp; Decision'!$A$7:$A$56,0)),"")&lt;=Settings!$B$7,ISNUMBER(IFERROR(INDEX('Review &amp; Decision'!$I$7:$I$56,MATCH($A45,'Review &amp; Decision'!$A$7:$A$56,0)),"")),IFERROR(INDEX('Review &amp; Decision'!$I$7:$I$56,MATCH($A45,'Review &amp; Decision'!$A$7:$A$56,0)),"")&gt;0,IFERROR(INDEX('Review &amp; Decision'!$I$7:$I$56,MATCH($A45,'Review &amp; Decision'!$A$7:$A$56,0)),"")&lt;=Settings!$B$7,IFERROR(INDEX('Review &amp; Decision'!$I$7:$I$56,MATCH($A45,'Review &amp; Decision'!$A$7:$A$56,0)),"")&gt;=IFERROR(INDEX('Review &amp; Decision'!$G$7:$G$56,MATCH($A45,'Review &amp; Decision'!$A$7:$A$56,0)),""),COUNTIFS('Review &amp; Decision'!$A$7:$A$56,$A45,'Review &amp; Decision'!$J$7:$J$56,"&lt;&gt;")=1,COUNTIFS('Review &amp; Decision'!$A$7:$A$56,$A45,'Review &amp; Decision'!$K$7:$K$56,"&lt;&gt;")=1,ISNUMBER(IFERROR(INDEX('Review &amp; Decision'!$J$7:$J$56,MATCH($A45,'Review &amp; Decision'!$A$7:$A$56,0)),"")),IFERROR(INDEX('Review &amp; Decision'!$J$7:$J$56,MATCH($A45,'Review &amp; Decision'!$A$7:$A$56,0)),"")&gt;=0,IFERROR(INDEX('Review &amp; Decision'!$J$7:$J$56,MATCH($A45,'Review &amp; Decision'!$A$7:$A$56,0)),"")&lt;=1,ISNUMBER(IFERROR(INDEX('Review &amp; Decision'!$K$7:$K$56,MATCH($A45,'Review &amp; Decision'!$A$7:$A$56,0)),"")),IFERROR(INDEX('Review &amp; Decision'!$K$7:$K$56,MATCH($A45,'Review &amp; Decision'!$A$7:$A$56,0)),"")&gt;=0,IFERROR(INDEX('Review &amp; Decision'!$K$7:$K$56,MATCH($A45,'Review &amp; Decision'!$A$7:$A$56,0)),"")&lt;=1,ISNUMBER(Settings!$B$7),Settings!$B$7&gt;0,OR(Settings!$B$8="Approved + measured",Settings!$B$8="Measured only"),LEN(TRIM(IF(COUNTIFS('Review &amp; Decision'!$A$7:$A$56,$A45,'Review &amp; Decision'!$D$7:$D$56,"&lt;&gt;")=1,IFERROR(INDEX('Review &amp; Decision'!$D$7:$D$56,MATCH($A45,'Review &amp; Decision'!$A$7:$A$56,0)),""),"")))&gt;0,LEN(TRIM(IF(COUNTIFS('Review &amp; Decision'!$A$7:$A$56,$A45,'Review &amp; Decision'!$F$7:$F$56,"&lt;&gt;")=1,IFERROR(INDEX('Review &amp; Decision'!$F$7:$F$56,MATCH($A45,'Review &amp; Decision'!$A$7:$A$56,0)),""),"")))&gt;0,OR(IFERROR(INDEX('Review &amp; Decision'!$C$7:$C$56,MATCH($A45,'Review &amp; Decision'!$A$7:$A$56,0)),"")&lt;&gt;"Accepted reduction",LEN(TRIM(IF(COUNTIFS('Review &amp; Decision'!$A$7:$A$56,$A45,'Review &amp; Decision'!$L$7:$L$56,"&lt;&gt;")=1,IFERROR(INDEX('Review &amp; Decision'!$L$7:$L$56,MATCH($A45,'Review &amp; Decision'!$A$7:$A$56,0)),""),"")))&gt;0)),1,0)</f>
        <v>0</v>
      </c>
      <c r="I45" s="14">
        <f>IF(AND(AG45=1,IFERROR(INDEX(Actuals!$M$7:$M$56,MATCH($A45,Actuals!$A$7:$A$56,0)),"")="Ready",IFERROR(INDEX(Actuals!$D$7:$D$56,MATCH($A45,Actuals!$A$7:$A$56,0)),"")&gt;=IFERROR(INDEX('Review &amp; Decision'!$I$7:$I$56,MATCH($A45,'Review &amp; Decision'!$A$7:$A$56,0)),"")),1,0)</f>
        <v>0</v>
      </c>
      <c r="J45" s="14" t="str">
        <f t="shared" si="12"/>
        <v>Unused slot</v>
      </c>
      <c r="K45" s="14">
        <f t="shared" si="13"/>
        <v>0</v>
      </c>
      <c r="L45" s="14">
        <f t="shared" si="14"/>
        <v>0</v>
      </c>
      <c r="M45" s="14">
        <f>IF(OR(L45=1,AND(K45=1,Settings!$B$8="Approved + measured")),1,0)</f>
        <v>0</v>
      </c>
      <c r="N45" s="14" t="str">
        <f>IF(E45=1,IFERROR(INDEX(Current!$H$7:$H$56,MATCH($A45,Current!$A$7:$A$56,0)),""),"")</f>
        <v/>
      </c>
      <c r="O45" s="14" t="str">
        <f>IF(F45=1,IFERROR(INDEX(Proposed!$I$7:$I$56,MATCH($A45,Proposed!$A$7:$A$56,0)),""),"")</f>
        <v/>
      </c>
      <c r="P45" s="14" t="str">
        <f t="shared" si="15"/>
        <v/>
      </c>
      <c r="Q45" s="14" t="str">
        <f>IF(E45=1,IFERROR(INDEX(Current!$I$7:$I$56,MATCH($A45,Current!$A$7:$A$56,0)),""),"")</f>
        <v/>
      </c>
      <c r="R45" s="14" t="str">
        <f>IF(F45=1,IFERROR(INDEX(Proposed!$J$7:$J$56,MATCH($A45,Proposed!$A$7:$A$56,0)),""),"")</f>
        <v/>
      </c>
      <c r="S45" s="14" t="str">
        <f t="shared" si="16"/>
        <v/>
      </c>
      <c r="T45" s="14" t="str">
        <f>IF(E45=1,IFERROR(INDEX(Current!$E$7:$E$56,MATCH($A45,Current!$A$7:$A$56,0)),""),"")</f>
        <v/>
      </c>
      <c r="U45" s="14" t="str">
        <f>IF(F45=1,IFERROR(INDEX(Proposed!$E$7:$E$56,MATCH($A45,Proposed!$A$7:$A$56,0)),""),"")</f>
        <v/>
      </c>
      <c r="V45" s="14" t="str">
        <f t="shared" si="17"/>
        <v/>
      </c>
      <c r="W45" s="14" t="str">
        <f>IF(E45=1,IFERROR(INDEX(Current!$K$7:$K$56,MATCH($A45,Current!$A$7:$A$56,0)),""),"")</f>
        <v/>
      </c>
      <c r="X45" s="14" t="str">
        <f>IF(F45=1,IFERROR(INDEX(Proposed!$L$7:$L$56,MATCH($A45,Proposed!$A$7:$A$56,0)),""),"")</f>
        <v/>
      </c>
      <c r="Y45" s="14" t="str">
        <f t="shared" si="18"/>
        <v/>
      </c>
      <c r="Z45" s="14" t="str">
        <f>IF(F45=1,IFERROR(INDEX(Proposed!$F$7:$F$56,MATCH($A45,Proposed!$A$7:$A$56,0)),""),"")</f>
        <v/>
      </c>
      <c r="AA45" s="14">
        <f>IF(M45=1,IF(IF(L45=1,AL45,P45)&gt;0,IF(L45=1,AL45,P45)*IFERROR(INDEX('Review &amp; Decision'!$J$7:$J$56,MATCH($A45,'Review &amp; Decision'!$A$7:$A$56,0)),""),IF(L45=1,AL45,P45)),0)</f>
        <v>0</v>
      </c>
      <c r="AB45" s="14">
        <f>IF(M45=1,IF(IF(L45=1,AM45,S45)&gt;0,IF(L45=1,AM45,S45)*IFERROR(INDEX('Review &amp; Decision'!$K$7:$K$56,MATCH($A45,'Review &amp; Decision'!$A$7:$A$56,0)),""),IF(L45=1,AM45,S45)),0)</f>
        <v>0</v>
      </c>
      <c r="AC45" s="14">
        <f t="shared" si="19"/>
        <v>0</v>
      </c>
      <c r="AD45" s="14">
        <f t="shared" si="20"/>
        <v>0</v>
      </c>
      <c r="AE45" s="14">
        <f t="shared" si="21"/>
        <v>0</v>
      </c>
      <c r="AF45" s="14" t="str">
        <f t="shared" si="22"/>
        <v>No measurement warning</v>
      </c>
      <c r="AG45" s="14">
        <f>IF(AND(COUNTIF(Cases!$A$7:$A$56,$A45)=1,COUNTIF(Current!$A$7:$A$56,$A45)=1,COUNTIF(Proposed!$A$7:$A$56,$A45)=1,COUNTIF('Review &amp; Decision'!$A$7:$A$56,$A45)=1,COUNTIF('Challenge Review'!$A$7:$A$56,$A45)=1,COUNTIF(Actuals!$A$7:$A$56,$A45)=1,COUNTIF(Classification!$A$7:$A$56,$A45)=1),1,0)</f>
        <v>1</v>
      </c>
      <c r="AH45" s="14">
        <f t="shared" si="23"/>
        <v>0</v>
      </c>
      <c r="AI45" s="14" t="str">
        <f>IF(COUNTIFS('Review &amp; Decision'!$A$7:$A$56,$A45,'Review &amp; Decision'!$H$7:$H$56,"&lt;&gt;")=1,IFERROR(INDEX('Review &amp; Decision'!$H$7:$H$56,MATCH($A45,'Review &amp; Decision'!$A$7:$A$56,0)),""),"")</f>
        <v/>
      </c>
      <c r="AJ45" s="14" t="str">
        <f>IF(COUNTIFS('Review &amp; Decision'!$A$7:$A$56,$A45,'Review &amp; Decision'!$E$7:$E$56,"&lt;&gt;")=1,IFERROR(INDEX('Review &amp; Decision'!$E$7:$E$56,MATCH($A45,'Review &amp; Decision'!$A$7:$A$56,0)),""),"")</f>
        <v/>
      </c>
      <c r="AK45" s="14" t="str">
        <f>IF(COUNTIFS('Review &amp; Decision'!$A$7:$A$56,$A45,'Review &amp; Decision'!$B$7:$B$56,"&lt;&gt;")=1,IFERROR(INDEX('Review &amp; Decision'!$B$7:$B$56,MATCH($A45,'Review &amp; Decision'!$A$7:$A$56,0)),""),"")</f>
        <v/>
      </c>
      <c r="AL45" s="14" t="str">
        <f>IF(I45=1,IFERROR(INDEX(Actuals!$E$7:$E$56,MATCH($A45,Actuals!$A$7:$A$56,0)),""),"")</f>
        <v/>
      </c>
      <c r="AM45" s="14" t="str">
        <f>IF(I45=1,IFERROR(INDEX(Actuals!$F$7:$F$56,MATCH($A45,Actuals!$A$7:$A$56,0)),""),"")</f>
        <v/>
      </c>
      <c r="AN45" s="14" t="str">
        <f>IF(I45=1,IFERROR(INDEX(Actuals!$G$7:$G$56,MATCH($A45,Actuals!$A$7:$A$56,0)),""),"")</f>
        <v/>
      </c>
      <c r="AO45" s="14" t="str">
        <f>IF(I45=1,IFERROR(INDEX(Actuals!$G$7:$G$56,MATCH($A45,Actuals!$A$7:$A$56,0)),"")+IFERROR(INDEX(Actuals!$H$7:$H$56,MATCH($A45,Actuals!$A$7:$A$56,0)),""),"")</f>
        <v/>
      </c>
      <c r="AP45" s="14" t="str">
        <f>IF(COUNTIFS(Cases!$A$7:$A$56,$A45,Cases!$G$7:$G$56,"&lt;&gt;")=1,IFERROR(INDEX(Cases!$G$7:$G$56,MATCH($A45,Cases!$A$7:$A$56,0)),""),"")</f>
        <v/>
      </c>
    </row>
    <row r="46" spans="1:42" ht="43.9" customHeight="1">
      <c r="A46" s="14" t="s">
        <v>137</v>
      </c>
      <c r="B46" s="14" t="str">
        <f>IF(COUNTIFS(Cases!$A$7:$A$56,$A46,Cases!$B$7:$B$56,"&lt;&gt;")=1,IFERROR(INDEX(Cases!$B$7:$B$56,MATCH($A46,Cases!$A$7:$A$56,0)),""),"")</f>
        <v>Inactive</v>
      </c>
      <c r="C46" s="14" t="str">
        <f>IF(COUNTIFS(Cases!$A$7:$A$56,$A46,Cases!$C$7:$C$56,"&lt;&gt;")=1,IFERROR(INDEX(Cases!$C$7:$C$56,MATCH($A46,Cases!$A$7:$A$56,0)),""),"")</f>
        <v/>
      </c>
      <c r="D46" s="14">
        <f>IF(AND(AG46=1,OR(B46="Example",B46="Live"),OR(AP46="Simplify",AP46="Replace",AP46="Reduce scope",AP46="Retire",AP46="Retain"),COUNTIFS(Cases!$A$7:$A$56,$A46,Cases!$C$7:$C$56,"&lt;&gt;")=1,COUNTIFS(Cases!$A$7:$A$56,$A46,Cases!$D$7:$D$56,"&lt;&gt;")=1,COUNTIFS(Cases!$A$7:$A$56,$A46,Cases!$E$7:$E$56,"&lt;&gt;")=1,COUNTIFS(Cases!$A$7:$A$56,$A46,Cases!$F$7:$F$56,"&lt;&gt;")=1,COUNTIFS(Cases!$A$7:$A$56,$A46,Cases!$H$7:$H$56,"&lt;&gt;")=1,COUNTIFS(Cases!$A$7:$A$56,$A46,Cases!$I$7:$I$56,"&lt;&gt;")=1,LEN(TRIM(IF(COUNTIFS(Cases!$A$7:$A$56,$A46,Cases!$C$7:$C$56,"&lt;&gt;")=1,IFERROR(INDEX(Cases!$C$7:$C$56,MATCH($A46,Cases!$A$7:$A$56,0)),""),"")))&gt;0,LEN(TRIM(IF(COUNTIFS(Cases!$A$7:$A$56,$A46,Cases!$D$7:$D$56,"&lt;&gt;")=1,IFERROR(INDEX(Cases!$D$7:$D$56,MATCH($A46,Cases!$A$7:$A$56,0)),""),"")))&gt;0,LEN(TRIM(IF(COUNTIFS(Cases!$A$7:$A$56,$A46,Cases!$E$7:$E$56,"&lt;&gt;")=1,IFERROR(INDEX(Cases!$E$7:$E$56,MATCH($A46,Cases!$A$7:$A$56,0)),""),"")))&gt;0,LEN(TRIM(IF(COUNTIFS(Cases!$A$7:$A$56,$A46,Cases!$F$7:$F$56,"&lt;&gt;")=1,IFERROR(INDEX(Cases!$F$7:$F$56,MATCH($A46,Cases!$A$7:$A$56,0)),""),"")))&gt;0,LEN(TRIM(IF(COUNTIFS(Cases!$A$7:$A$56,$A46,Cases!$H$7:$H$56,"&lt;&gt;")=1,IFERROR(INDEX(Cases!$H$7:$H$56,MATCH($A46,Cases!$A$7:$A$56,0)),""),"")))&gt;0,LEN(TRIM(IF(COUNTIFS(Cases!$A$7:$A$56,$A46,Cases!$I$7:$I$56,"&lt;&gt;")=1,IFERROR(INDEX(Cases!$I$7:$I$56,MATCH($A46,Cases!$A$7:$A$56,0)),""),"")))&gt;0),1,0)</f>
        <v>0</v>
      </c>
      <c r="E46" s="14">
        <f>IF(AND(AG46=1,IFERROR(INDEX(Current!$G$7:$G$56,MATCH($A46,Current!$A$7:$A$56,0)),"")="Ready"),1,0)</f>
        <v>0</v>
      </c>
      <c r="F46" s="14">
        <f>IF(AND(AG46=1,IFERROR(INDEX(Proposed!$H$7:$H$56,MATCH($A46,Proposed!$A$7:$A$56,0)),"")="Ready",OR(AP46&lt;&gt;"Retain",AND(IFERROR(INDEX(Current!$B$7:$B$56,MATCH($A46,Current!$A$7:$A$56,0)),"")=IFERROR(INDEX(Proposed!$B$7:$B$56,MATCH($A46,Proposed!$A$7:$A$56,0)),""),IFERROR(INDEX(Current!$C$7:$C$56,MATCH($A46,Current!$A$7:$A$56,0)),"")=IFERROR(INDEX(Proposed!$C$7:$C$56,MATCH($A46,Proposed!$A$7:$A$56,0)),""),IFERROR(INDEX(Current!$D$7:$D$56,MATCH($A46,Current!$A$7:$A$56,0)),"")=IFERROR(INDEX(Proposed!$D$7:$D$56,MATCH($A46,Proposed!$A$7:$A$56,0)),""),IFERROR(INDEX(Current!$E$7:$E$56,MATCH($A46,Current!$A$7:$A$56,0)),"")=IFERROR(INDEX(Proposed!$E$7:$E$56,MATCH($A46,Proposed!$A$7:$A$56,0)),"")))),1,0)</f>
        <v>0</v>
      </c>
      <c r="G46" s="14" t="str">
        <f>IF(COUNTIFS('Challenge Review'!$A$7:$A$56,$A46,'Challenge Review'!$K$7:$K$56,"&lt;&gt;")=1,IFERROR(INDEX('Challenge Review'!$K$7:$K$56,MATCH($A46,'Challenge Review'!$A$7:$A$56,0)),""),"")</f>
        <v>Unchecked</v>
      </c>
      <c r="H46" s="14">
        <f>IF(AND(AG46=1,IFERROR(INDEX('Review &amp; Decision'!$B$7:$B$56,MATCH($A46,'Review &amp; Decision'!$A$7:$A$56,0)),"")="Evidence-backed",OR(IFERROR(INDEX('Review &amp; Decision'!$C$7:$C$56,MATCH($A46,'Review &amp; Decision'!$A$7:$A$56,0)),"")="Equivalent or better",AND(IFERROR(INDEX('Review &amp; Decision'!$C$7:$C$56,MATCH($A46,'Review &amp; Decision'!$A$7:$A$56,0)),"")="Accepted reduction",COUNTIFS('Review &amp; Decision'!$A$7:$A$56,$A46,'Review &amp; Decision'!$L$7:$L$56,"&lt;&gt;")=1)),COUNTIFS('Review &amp; Decision'!$A$7:$A$56,$A46,'Review &amp; Decision'!$D$7:$D$56,"&lt;&gt;")=1,COUNTIFS('Review &amp; Decision'!$A$7:$A$56,$A46,'Review &amp; Decision'!$F$7:$F$56,"&lt;&gt;")=1,OR(IFERROR(INDEX('Review &amp; Decision'!$E$7:$E$56,MATCH($A46,'Review &amp; Decision'!$A$7:$A$56,0)),"")="Approved",IFERROR(INDEX('Review &amp; Decision'!$E$7:$E$56,MATCH($A46,'Review &amp; Decision'!$A$7:$A$56,0)),"")="Implemented"),ISNUMBER(IFERROR(INDEX('Review &amp; Decision'!$G$7:$G$56,MATCH($A46,'Review &amp; Decision'!$A$7:$A$56,0)),"")),IFERROR(INDEX('Review &amp; Decision'!$G$7:$G$56,MATCH($A46,'Review &amp; Decision'!$A$7:$A$56,0)),"")&gt;0,IFERROR(INDEX('Review &amp; Decision'!$G$7:$G$56,MATCH($A46,'Review &amp; Decision'!$A$7:$A$56,0)),"")&lt;=Settings!$B$7,ISNUMBER(IFERROR(INDEX('Review &amp; Decision'!$I$7:$I$56,MATCH($A46,'Review &amp; Decision'!$A$7:$A$56,0)),"")),IFERROR(INDEX('Review &amp; Decision'!$I$7:$I$56,MATCH($A46,'Review &amp; Decision'!$A$7:$A$56,0)),"")&gt;0,IFERROR(INDEX('Review &amp; Decision'!$I$7:$I$56,MATCH($A46,'Review &amp; Decision'!$A$7:$A$56,0)),"")&lt;=Settings!$B$7,IFERROR(INDEX('Review &amp; Decision'!$I$7:$I$56,MATCH($A46,'Review &amp; Decision'!$A$7:$A$56,0)),"")&gt;=IFERROR(INDEX('Review &amp; Decision'!$G$7:$G$56,MATCH($A46,'Review &amp; Decision'!$A$7:$A$56,0)),""),COUNTIFS('Review &amp; Decision'!$A$7:$A$56,$A46,'Review &amp; Decision'!$J$7:$J$56,"&lt;&gt;")=1,COUNTIFS('Review &amp; Decision'!$A$7:$A$56,$A46,'Review &amp; Decision'!$K$7:$K$56,"&lt;&gt;")=1,ISNUMBER(IFERROR(INDEX('Review &amp; Decision'!$J$7:$J$56,MATCH($A46,'Review &amp; Decision'!$A$7:$A$56,0)),"")),IFERROR(INDEX('Review &amp; Decision'!$J$7:$J$56,MATCH($A46,'Review &amp; Decision'!$A$7:$A$56,0)),"")&gt;=0,IFERROR(INDEX('Review &amp; Decision'!$J$7:$J$56,MATCH($A46,'Review &amp; Decision'!$A$7:$A$56,0)),"")&lt;=1,ISNUMBER(IFERROR(INDEX('Review &amp; Decision'!$K$7:$K$56,MATCH($A46,'Review &amp; Decision'!$A$7:$A$56,0)),"")),IFERROR(INDEX('Review &amp; Decision'!$K$7:$K$56,MATCH($A46,'Review &amp; Decision'!$A$7:$A$56,0)),"")&gt;=0,IFERROR(INDEX('Review &amp; Decision'!$K$7:$K$56,MATCH($A46,'Review &amp; Decision'!$A$7:$A$56,0)),"")&lt;=1,ISNUMBER(Settings!$B$7),Settings!$B$7&gt;0,OR(Settings!$B$8="Approved + measured",Settings!$B$8="Measured only"),LEN(TRIM(IF(COUNTIFS('Review &amp; Decision'!$A$7:$A$56,$A46,'Review &amp; Decision'!$D$7:$D$56,"&lt;&gt;")=1,IFERROR(INDEX('Review &amp; Decision'!$D$7:$D$56,MATCH($A46,'Review &amp; Decision'!$A$7:$A$56,0)),""),"")))&gt;0,LEN(TRIM(IF(COUNTIFS('Review &amp; Decision'!$A$7:$A$56,$A46,'Review &amp; Decision'!$F$7:$F$56,"&lt;&gt;")=1,IFERROR(INDEX('Review &amp; Decision'!$F$7:$F$56,MATCH($A46,'Review &amp; Decision'!$A$7:$A$56,0)),""),"")))&gt;0,OR(IFERROR(INDEX('Review &amp; Decision'!$C$7:$C$56,MATCH($A46,'Review &amp; Decision'!$A$7:$A$56,0)),"")&lt;&gt;"Accepted reduction",LEN(TRIM(IF(COUNTIFS('Review &amp; Decision'!$A$7:$A$56,$A46,'Review &amp; Decision'!$L$7:$L$56,"&lt;&gt;")=1,IFERROR(INDEX('Review &amp; Decision'!$L$7:$L$56,MATCH($A46,'Review &amp; Decision'!$A$7:$A$56,0)),""),"")))&gt;0)),1,0)</f>
        <v>0</v>
      </c>
      <c r="I46" s="14">
        <f>IF(AND(AG46=1,IFERROR(INDEX(Actuals!$M$7:$M$56,MATCH($A46,Actuals!$A$7:$A$56,0)),"")="Ready",IFERROR(INDEX(Actuals!$D$7:$D$56,MATCH($A46,Actuals!$A$7:$A$56,0)),"")&gt;=IFERROR(INDEX('Review &amp; Decision'!$I$7:$I$56,MATCH($A46,'Review &amp; Decision'!$A$7:$A$56,0)),"")),1,0)</f>
        <v>0</v>
      </c>
      <c r="J46" s="14" t="str">
        <f t="shared" si="12"/>
        <v>Unused slot</v>
      </c>
      <c r="K46" s="14">
        <f t="shared" si="13"/>
        <v>0</v>
      </c>
      <c r="L46" s="14">
        <f t="shared" si="14"/>
        <v>0</v>
      </c>
      <c r="M46" s="14">
        <f>IF(OR(L46=1,AND(K46=1,Settings!$B$8="Approved + measured")),1,0)</f>
        <v>0</v>
      </c>
      <c r="N46" s="14" t="str">
        <f>IF(E46=1,IFERROR(INDEX(Current!$H$7:$H$56,MATCH($A46,Current!$A$7:$A$56,0)),""),"")</f>
        <v/>
      </c>
      <c r="O46" s="14" t="str">
        <f>IF(F46=1,IFERROR(INDEX(Proposed!$I$7:$I$56,MATCH($A46,Proposed!$A$7:$A$56,0)),""),"")</f>
        <v/>
      </c>
      <c r="P46" s="14" t="str">
        <f t="shared" si="15"/>
        <v/>
      </c>
      <c r="Q46" s="14" t="str">
        <f>IF(E46=1,IFERROR(INDEX(Current!$I$7:$I$56,MATCH($A46,Current!$A$7:$A$56,0)),""),"")</f>
        <v/>
      </c>
      <c r="R46" s="14" t="str">
        <f>IF(F46=1,IFERROR(INDEX(Proposed!$J$7:$J$56,MATCH($A46,Proposed!$A$7:$A$56,0)),""),"")</f>
        <v/>
      </c>
      <c r="S46" s="14" t="str">
        <f t="shared" si="16"/>
        <v/>
      </c>
      <c r="T46" s="14" t="str">
        <f>IF(E46=1,IFERROR(INDEX(Current!$E$7:$E$56,MATCH($A46,Current!$A$7:$A$56,0)),""),"")</f>
        <v/>
      </c>
      <c r="U46" s="14" t="str">
        <f>IF(F46=1,IFERROR(INDEX(Proposed!$E$7:$E$56,MATCH($A46,Proposed!$A$7:$A$56,0)),""),"")</f>
        <v/>
      </c>
      <c r="V46" s="14" t="str">
        <f t="shared" si="17"/>
        <v/>
      </c>
      <c r="W46" s="14" t="str">
        <f>IF(E46=1,IFERROR(INDEX(Current!$K$7:$K$56,MATCH($A46,Current!$A$7:$A$56,0)),""),"")</f>
        <v/>
      </c>
      <c r="X46" s="14" t="str">
        <f>IF(F46=1,IFERROR(INDEX(Proposed!$L$7:$L$56,MATCH($A46,Proposed!$A$7:$A$56,0)),""),"")</f>
        <v/>
      </c>
      <c r="Y46" s="14" t="str">
        <f t="shared" si="18"/>
        <v/>
      </c>
      <c r="Z46" s="14" t="str">
        <f>IF(F46=1,IFERROR(INDEX(Proposed!$F$7:$F$56,MATCH($A46,Proposed!$A$7:$A$56,0)),""),"")</f>
        <v/>
      </c>
      <c r="AA46" s="14">
        <f>IF(M46=1,IF(IF(L46=1,AL46,P46)&gt;0,IF(L46=1,AL46,P46)*IFERROR(INDEX('Review &amp; Decision'!$J$7:$J$56,MATCH($A46,'Review &amp; Decision'!$A$7:$A$56,0)),""),IF(L46=1,AL46,P46)),0)</f>
        <v>0</v>
      </c>
      <c r="AB46" s="14">
        <f>IF(M46=1,IF(IF(L46=1,AM46,S46)&gt;0,IF(L46=1,AM46,S46)*IFERROR(INDEX('Review &amp; Decision'!$K$7:$K$56,MATCH($A46,'Review &amp; Decision'!$A$7:$A$56,0)),""),IF(L46=1,AM46,S46)),0)</f>
        <v>0</v>
      </c>
      <c r="AC46" s="14">
        <f t="shared" si="19"/>
        <v>0</v>
      </c>
      <c r="AD46" s="14">
        <f t="shared" si="20"/>
        <v>0</v>
      </c>
      <c r="AE46" s="14">
        <f t="shared" si="21"/>
        <v>0</v>
      </c>
      <c r="AF46" s="14" t="str">
        <f t="shared" si="22"/>
        <v>No measurement warning</v>
      </c>
      <c r="AG46" s="14">
        <f>IF(AND(COUNTIF(Cases!$A$7:$A$56,$A46)=1,COUNTIF(Current!$A$7:$A$56,$A46)=1,COUNTIF(Proposed!$A$7:$A$56,$A46)=1,COUNTIF('Review &amp; Decision'!$A$7:$A$56,$A46)=1,COUNTIF('Challenge Review'!$A$7:$A$56,$A46)=1,COUNTIF(Actuals!$A$7:$A$56,$A46)=1,COUNTIF(Classification!$A$7:$A$56,$A46)=1),1,0)</f>
        <v>1</v>
      </c>
      <c r="AH46" s="14">
        <f t="shared" si="23"/>
        <v>0</v>
      </c>
      <c r="AI46" s="14" t="str">
        <f>IF(COUNTIFS('Review &amp; Decision'!$A$7:$A$56,$A46,'Review &amp; Decision'!$H$7:$H$56,"&lt;&gt;")=1,IFERROR(INDEX('Review &amp; Decision'!$H$7:$H$56,MATCH($A46,'Review &amp; Decision'!$A$7:$A$56,0)),""),"")</f>
        <v/>
      </c>
      <c r="AJ46" s="14" t="str">
        <f>IF(COUNTIFS('Review &amp; Decision'!$A$7:$A$56,$A46,'Review &amp; Decision'!$E$7:$E$56,"&lt;&gt;")=1,IFERROR(INDEX('Review &amp; Decision'!$E$7:$E$56,MATCH($A46,'Review &amp; Decision'!$A$7:$A$56,0)),""),"")</f>
        <v/>
      </c>
      <c r="AK46" s="14" t="str">
        <f>IF(COUNTIFS('Review &amp; Decision'!$A$7:$A$56,$A46,'Review &amp; Decision'!$B$7:$B$56,"&lt;&gt;")=1,IFERROR(INDEX('Review &amp; Decision'!$B$7:$B$56,MATCH($A46,'Review &amp; Decision'!$A$7:$A$56,0)),""),"")</f>
        <v/>
      </c>
      <c r="AL46" s="14" t="str">
        <f>IF(I46=1,IFERROR(INDEX(Actuals!$E$7:$E$56,MATCH($A46,Actuals!$A$7:$A$56,0)),""),"")</f>
        <v/>
      </c>
      <c r="AM46" s="14" t="str">
        <f>IF(I46=1,IFERROR(INDEX(Actuals!$F$7:$F$56,MATCH($A46,Actuals!$A$7:$A$56,0)),""),"")</f>
        <v/>
      </c>
      <c r="AN46" s="14" t="str">
        <f>IF(I46=1,IFERROR(INDEX(Actuals!$G$7:$G$56,MATCH($A46,Actuals!$A$7:$A$56,0)),""),"")</f>
        <v/>
      </c>
      <c r="AO46" s="14" t="str">
        <f>IF(I46=1,IFERROR(INDEX(Actuals!$G$7:$G$56,MATCH($A46,Actuals!$A$7:$A$56,0)),"")+IFERROR(INDEX(Actuals!$H$7:$H$56,MATCH($A46,Actuals!$A$7:$A$56,0)),""),"")</f>
        <v/>
      </c>
      <c r="AP46" s="14" t="str">
        <f>IF(COUNTIFS(Cases!$A$7:$A$56,$A46,Cases!$G$7:$G$56,"&lt;&gt;")=1,IFERROR(INDEX(Cases!$G$7:$G$56,MATCH($A46,Cases!$A$7:$A$56,0)),""),"")</f>
        <v/>
      </c>
    </row>
    <row r="47" spans="1:42" ht="43.9" customHeight="1">
      <c r="A47" s="14" t="s">
        <v>138</v>
      </c>
      <c r="B47" s="14" t="str">
        <f>IF(COUNTIFS(Cases!$A$7:$A$56,$A47,Cases!$B$7:$B$56,"&lt;&gt;")=1,IFERROR(INDEX(Cases!$B$7:$B$56,MATCH($A47,Cases!$A$7:$A$56,0)),""),"")</f>
        <v>Inactive</v>
      </c>
      <c r="C47" s="14" t="str">
        <f>IF(COUNTIFS(Cases!$A$7:$A$56,$A47,Cases!$C$7:$C$56,"&lt;&gt;")=1,IFERROR(INDEX(Cases!$C$7:$C$56,MATCH($A47,Cases!$A$7:$A$56,0)),""),"")</f>
        <v/>
      </c>
      <c r="D47" s="14">
        <f>IF(AND(AG47=1,OR(B47="Example",B47="Live"),OR(AP47="Simplify",AP47="Replace",AP47="Reduce scope",AP47="Retire",AP47="Retain"),COUNTIFS(Cases!$A$7:$A$56,$A47,Cases!$C$7:$C$56,"&lt;&gt;")=1,COUNTIFS(Cases!$A$7:$A$56,$A47,Cases!$D$7:$D$56,"&lt;&gt;")=1,COUNTIFS(Cases!$A$7:$A$56,$A47,Cases!$E$7:$E$56,"&lt;&gt;")=1,COUNTIFS(Cases!$A$7:$A$56,$A47,Cases!$F$7:$F$56,"&lt;&gt;")=1,COUNTIFS(Cases!$A$7:$A$56,$A47,Cases!$H$7:$H$56,"&lt;&gt;")=1,COUNTIFS(Cases!$A$7:$A$56,$A47,Cases!$I$7:$I$56,"&lt;&gt;")=1,LEN(TRIM(IF(COUNTIFS(Cases!$A$7:$A$56,$A47,Cases!$C$7:$C$56,"&lt;&gt;")=1,IFERROR(INDEX(Cases!$C$7:$C$56,MATCH($A47,Cases!$A$7:$A$56,0)),""),"")))&gt;0,LEN(TRIM(IF(COUNTIFS(Cases!$A$7:$A$56,$A47,Cases!$D$7:$D$56,"&lt;&gt;")=1,IFERROR(INDEX(Cases!$D$7:$D$56,MATCH($A47,Cases!$A$7:$A$56,0)),""),"")))&gt;0,LEN(TRIM(IF(COUNTIFS(Cases!$A$7:$A$56,$A47,Cases!$E$7:$E$56,"&lt;&gt;")=1,IFERROR(INDEX(Cases!$E$7:$E$56,MATCH($A47,Cases!$A$7:$A$56,0)),""),"")))&gt;0,LEN(TRIM(IF(COUNTIFS(Cases!$A$7:$A$56,$A47,Cases!$F$7:$F$56,"&lt;&gt;")=1,IFERROR(INDEX(Cases!$F$7:$F$56,MATCH($A47,Cases!$A$7:$A$56,0)),""),"")))&gt;0,LEN(TRIM(IF(COUNTIFS(Cases!$A$7:$A$56,$A47,Cases!$H$7:$H$56,"&lt;&gt;")=1,IFERROR(INDEX(Cases!$H$7:$H$56,MATCH($A47,Cases!$A$7:$A$56,0)),""),"")))&gt;0,LEN(TRIM(IF(COUNTIFS(Cases!$A$7:$A$56,$A47,Cases!$I$7:$I$56,"&lt;&gt;")=1,IFERROR(INDEX(Cases!$I$7:$I$56,MATCH($A47,Cases!$A$7:$A$56,0)),""),"")))&gt;0),1,0)</f>
        <v>0</v>
      </c>
      <c r="E47" s="14">
        <f>IF(AND(AG47=1,IFERROR(INDEX(Current!$G$7:$G$56,MATCH($A47,Current!$A$7:$A$56,0)),"")="Ready"),1,0)</f>
        <v>0</v>
      </c>
      <c r="F47" s="14">
        <f>IF(AND(AG47=1,IFERROR(INDEX(Proposed!$H$7:$H$56,MATCH($A47,Proposed!$A$7:$A$56,0)),"")="Ready",OR(AP47&lt;&gt;"Retain",AND(IFERROR(INDEX(Current!$B$7:$B$56,MATCH($A47,Current!$A$7:$A$56,0)),"")=IFERROR(INDEX(Proposed!$B$7:$B$56,MATCH($A47,Proposed!$A$7:$A$56,0)),""),IFERROR(INDEX(Current!$C$7:$C$56,MATCH($A47,Current!$A$7:$A$56,0)),"")=IFERROR(INDEX(Proposed!$C$7:$C$56,MATCH($A47,Proposed!$A$7:$A$56,0)),""),IFERROR(INDEX(Current!$D$7:$D$56,MATCH($A47,Current!$A$7:$A$56,0)),"")=IFERROR(INDEX(Proposed!$D$7:$D$56,MATCH($A47,Proposed!$A$7:$A$56,0)),""),IFERROR(INDEX(Current!$E$7:$E$56,MATCH($A47,Current!$A$7:$A$56,0)),"")=IFERROR(INDEX(Proposed!$E$7:$E$56,MATCH($A47,Proposed!$A$7:$A$56,0)),"")))),1,0)</f>
        <v>0</v>
      </c>
      <c r="G47" s="14" t="str">
        <f>IF(COUNTIFS('Challenge Review'!$A$7:$A$56,$A47,'Challenge Review'!$K$7:$K$56,"&lt;&gt;")=1,IFERROR(INDEX('Challenge Review'!$K$7:$K$56,MATCH($A47,'Challenge Review'!$A$7:$A$56,0)),""),"")</f>
        <v>Unchecked</v>
      </c>
      <c r="H47" s="14">
        <f>IF(AND(AG47=1,IFERROR(INDEX('Review &amp; Decision'!$B$7:$B$56,MATCH($A47,'Review &amp; Decision'!$A$7:$A$56,0)),"")="Evidence-backed",OR(IFERROR(INDEX('Review &amp; Decision'!$C$7:$C$56,MATCH($A47,'Review &amp; Decision'!$A$7:$A$56,0)),"")="Equivalent or better",AND(IFERROR(INDEX('Review &amp; Decision'!$C$7:$C$56,MATCH($A47,'Review &amp; Decision'!$A$7:$A$56,0)),"")="Accepted reduction",COUNTIFS('Review &amp; Decision'!$A$7:$A$56,$A47,'Review &amp; Decision'!$L$7:$L$56,"&lt;&gt;")=1)),COUNTIFS('Review &amp; Decision'!$A$7:$A$56,$A47,'Review &amp; Decision'!$D$7:$D$56,"&lt;&gt;")=1,COUNTIFS('Review &amp; Decision'!$A$7:$A$56,$A47,'Review &amp; Decision'!$F$7:$F$56,"&lt;&gt;")=1,OR(IFERROR(INDEX('Review &amp; Decision'!$E$7:$E$56,MATCH($A47,'Review &amp; Decision'!$A$7:$A$56,0)),"")="Approved",IFERROR(INDEX('Review &amp; Decision'!$E$7:$E$56,MATCH($A47,'Review &amp; Decision'!$A$7:$A$56,0)),"")="Implemented"),ISNUMBER(IFERROR(INDEX('Review &amp; Decision'!$G$7:$G$56,MATCH($A47,'Review &amp; Decision'!$A$7:$A$56,0)),"")),IFERROR(INDEX('Review &amp; Decision'!$G$7:$G$56,MATCH($A47,'Review &amp; Decision'!$A$7:$A$56,0)),"")&gt;0,IFERROR(INDEX('Review &amp; Decision'!$G$7:$G$56,MATCH($A47,'Review &amp; Decision'!$A$7:$A$56,0)),"")&lt;=Settings!$B$7,ISNUMBER(IFERROR(INDEX('Review &amp; Decision'!$I$7:$I$56,MATCH($A47,'Review &amp; Decision'!$A$7:$A$56,0)),"")),IFERROR(INDEX('Review &amp; Decision'!$I$7:$I$56,MATCH($A47,'Review &amp; Decision'!$A$7:$A$56,0)),"")&gt;0,IFERROR(INDEX('Review &amp; Decision'!$I$7:$I$56,MATCH($A47,'Review &amp; Decision'!$A$7:$A$56,0)),"")&lt;=Settings!$B$7,IFERROR(INDEX('Review &amp; Decision'!$I$7:$I$56,MATCH($A47,'Review &amp; Decision'!$A$7:$A$56,0)),"")&gt;=IFERROR(INDEX('Review &amp; Decision'!$G$7:$G$56,MATCH($A47,'Review &amp; Decision'!$A$7:$A$56,0)),""),COUNTIFS('Review &amp; Decision'!$A$7:$A$56,$A47,'Review &amp; Decision'!$J$7:$J$56,"&lt;&gt;")=1,COUNTIFS('Review &amp; Decision'!$A$7:$A$56,$A47,'Review &amp; Decision'!$K$7:$K$56,"&lt;&gt;")=1,ISNUMBER(IFERROR(INDEX('Review &amp; Decision'!$J$7:$J$56,MATCH($A47,'Review &amp; Decision'!$A$7:$A$56,0)),"")),IFERROR(INDEX('Review &amp; Decision'!$J$7:$J$56,MATCH($A47,'Review &amp; Decision'!$A$7:$A$56,0)),"")&gt;=0,IFERROR(INDEX('Review &amp; Decision'!$J$7:$J$56,MATCH($A47,'Review &amp; Decision'!$A$7:$A$56,0)),"")&lt;=1,ISNUMBER(IFERROR(INDEX('Review &amp; Decision'!$K$7:$K$56,MATCH($A47,'Review &amp; Decision'!$A$7:$A$56,0)),"")),IFERROR(INDEX('Review &amp; Decision'!$K$7:$K$56,MATCH($A47,'Review &amp; Decision'!$A$7:$A$56,0)),"")&gt;=0,IFERROR(INDEX('Review &amp; Decision'!$K$7:$K$56,MATCH($A47,'Review &amp; Decision'!$A$7:$A$56,0)),"")&lt;=1,ISNUMBER(Settings!$B$7),Settings!$B$7&gt;0,OR(Settings!$B$8="Approved + measured",Settings!$B$8="Measured only"),LEN(TRIM(IF(COUNTIFS('Review &amp; Decision'!$A$7:$A$56,$A47,'Review &amp; Decision'!$D$7:$D$56,"&lt;&gt;")=1,IFERROR(INDEX('Review &amp; Decision'!$D$7:$D$56,MATCH($A47,'Review &amp; Decision'!$A$7:$A$56,0)),""),"")))&gt;0,LEN(TRIM(IF(COUNTIFS('Review &amp; Decision'!$A$7:$A$56,$A47,'Review &amp; Decision'!$F$7:$F$56,"&lt;&gt;")=1,IFERROR(INDEX('Review &amp; Decision'!$F$7:$F$56,MATCH($A47,'Review &amp; Decision'!$A$7:$A$56,0)),""),"")))&gt;0,OR(IFERROR(INDEX('Review &amp; Decision'!$C$7:$C$56,MATCH($A47,'Review &amp; Decision'!$A$7:$A$56,0)),"")&lt;&gt;"Accepted reduction",LEN(TRIM(IF(COUNTIFS('Review &amp; Decision'!$A$7:$A$56,$A47,'Review &amp; Decision'!$L$7:$L$56,"&lt;&gt;")=1,IFERROR(INDEX('Review &amp; Decision'!$L$7:$L$56,MATCH($A47,'Review &amp; Decision'!$A$7:$A$56,0)),""),"")))&gt;0)),1,0)</f>
        <v>0</v>
      </c>
      <c r="I47" s="14">
        <f>IF(AND(AG47=1,IFERROR(INDEX(Actuals!$M$7:$M$56,MATCH($A47,Actuals!$A$7:$A$56,0)),"")="Ready",IFERROR(INDEX(Actuals!$D$7:$D$56,MATCH($A47,Actuals!$A$7:$A$56,0)),"")&gt;=IFERROR(INDEX('Review &amp; Decision'!$I$7:$I$56,MATCH($A47,'Review &amp; Decision'!$A$7:$A$56,0)),"")),1,0)</f>
        <v>0</v>
      </c>
      <c r="J47" s="14" t="str">
        <f t="shared" si="12"/>
        <v>Unused slot</v>
      </c>
      <c r="K47" s="14">
        <f t="shared" si="13"/>
        <v>0</v>
      </c>
      <c r="L47" s="14">
        <f t="shared" si="14"/>
        <v>0</v>
      </c>
      <c r="M47" s="14">
        <f>IF(OR(L47=1,AND(K47=1,Settings!$B$8="Approved + measured")),1,0)</f>
        <v>0</v>
      </c>
      <c r="N47" s="14" t="str">
        <f>IF(E47=1,IFERROR(INDEX(Current!$H$7:$H$56,MATCH($A47,Current!$A$7:$A$56,0)),""),"")</f>
        <v/>
      </c>
      <c r="O47" s="14" t="str">
        <f>IF(F47=1,IFERROR(INDEX(Proposed!$I$7:$I$56,MATCH($A47,Proposed!$A$7:$A$56,0)),""),"")</f>
        <v/>
      </c>
      <c r="P47" s="14" t="str">
        <f t="shared" si="15"/>
        <v/>
      </c>
      <c r="Q47" s="14" t="str">
        <f>IF(E47=1,IFERROR(INDEX(Current!$I$7:$I$56,MATCH($A47,Current!$A$7:$A$56,0)),""),"")</f>
        <v/>
      </c>
      <c r="R47" s="14" t="str">
        <f>IF(F47=1,IFERROR(INDEX(Proposed!$J$7:$J$56,MATCH($A47,Proposed!$A$7:$A$56,0)),""),"")</f>
        <v/>
      </c>
      <c r="S47" s="14" t="str">
        <f t="shared" si="16"/>
        <v/>
      </c>
      <c r="T47" s="14" t="str">
        <f>IF(E47=1,IFERROR(INDEX(Current!$E$7:$E$56,MATCH($A47,Current!$A$7:$A$56,0)),""),"")</f>
        <v/>
      </c>
      <c r="U47" s="14" t="str">
        <f>IF(F47=1,IFERROR(INDEX(Proposed!$E$7:$E$56,MATCH($A47,Proposed!$A$7:$A$56,0)),""),"")</f>
        <v/>
      </c>
      <c r="V47" s="14" t="str">
        <f t="shared" si="17"/>
        <v/>
      </c>
      <c r="W47" s="14" t="str">
        <f>IF(E47=1,IFERROR(INDEX(Current!$K$7:$K$56,MATCH($A47,Current!$A$7:$A$56,0)),""),"")</f>
        <v/>
      </c>
      <c r="X47" s="14" t="str">
        <f>IF(F47=1,IFERROR(INDEX(Proposed!$L$7:$L$56,MATCH($A47,Proposed!$A$7:$A$56,0)),""),"")</f>
        <v/>
      </c>
      <c r="Y47" s="14" t="str">
        <f t="shared" si="18"/>
        <v/>
      </c>
      <c r="Z47" s="14" t="str">
        <f>IF(F47=1,IFERROR(INDEX(Proposed!$F$7:$F$56,MATCH($A47,Proposed!$A$7:$A$56,0)),""),"")</f>
        <v/>
      </c>
      <c r="AA47" s="14">
        <f>IF(M47=1,IF(IF(L47=1,AL47,P47)&gt;0,IF(L47=1,AL47,P47)*IFERROR(INDEX('Review &amp; Decision'!$J$7:$J$56,MATCH($A47,'Review &amp; Decision'!$A$7:$A$56,0)),""),IF(L47=1,AL47,P47)),0)</f>
        <v>0</v>
      </c>
      <c r="AB47" s="14">
        <f>IF(M47=1,IF(IF(L47=1,AM47,S47)&gt;0,IF(L47=1,AM47,S47)*IFERROR(INDEX('Review &amp; Decision'!$K$7:$K$56,MATCH($A47,'Review &amp; Decision'!$A$7:$A$56,0)),""),IF(L47=1,AM47,S47)),0)</f>
        <v>0</v>
      </c>
      <c r="AC47" s="14">
        <f t="shared" si="19"/>
        <v>0</v>
      </c>
      <c r="AD47" s="14">
        <f t="shared" si="20"/>
        <v>0</v>
      </c>
      <c r="AE47" s="14">
        <f t="shared" si="21"/>
        <v>0</v>
      </c>
      <c r="AF47" s="14" t="str">
        <f t="shared" si="22"/>
        <v>No measurement warning</v>
      </c>
      <c r="AG47" s="14">
        <f>IF(AND(COUNTIF(Cases!$A$7:$A$56,$A47)=1,COUNTIF(Current!$A$7:$A$56,$A47)=1,COUNTIF(Proposed!$A$7:$A$56,$A47)=1,COUNTIF('Review &amp; Decision'!$A$7:$A$56,$A47)=1,COUNTIF('Challenge Review'!$A$7:$A$56,$A47)=1,COUNTIF(Actuals!$A$7:$A$56,$A47)=1,COUNTIF(Classification!$A$7:$A$56,$A47)=1),1,0)</f>
        <v>1</v>
      </c>
      <c r="AH47" s="14">
        <f t="shared" si="23"/>
        <v>0</v>
      </c>
      <c r="AI47" s="14" t="str">
        <f>IF(COUNTIFS('Review &amp; Decision'!$A$7:$A$56,$A47,'Review &amp; Decision'!$H$7:$H$56,"&lt;&gt;")=1,IFERROR(INDEX('Review &amp; Decision'!$H$7:$H$56,MATCH($A47,'Review &amp; Decision'!$A$7:$A$56,0)),""),"")</f>
        <v/>
      </c>
      <c r="AJ47" s="14" t="str">
        <f>IF(COUNTIFS('Review &amp; Decision'!$A$7:$A$56,$A47,'Review &amp; Decision'!$E$7:$E$56,"&lt;&gt;")=1,IFERROR(INDEX('Review &amp; Decision'!$E$7:$E$56,MATCH($A47,'Review &amp; Decision'!$A$7:$A$56,0)),""),"")</f>
        <v/>
      </c>
      <c r="AK47" s="14" t="str">
        <f>IF(COUNTIFS('Review &amp; Decision'!$A$7:$A$56,$A47,'Review &amp; Decision'!$B$7:$B$56,"&lt;&gt;")=1,IFERROR(INDEX('Review &amp; Decision'!$B$7:$B$56,MATCH($A47,'Review &amp; Decision'!$A$7:$A$56,0)),""),"")</f>
        <v/>
      </c>
      <c r="AL47" s="14" t="str">
        <f>IF(I47=1,IFERROR(INDEX(Actuals!$E$7:$E$56,MATCH($A47,Actuals!$A$7:$A$56,0)),""),"")</f>
        <v/>
      </c>
      <c r="AM47" s="14" t="str">
        <f>IF(I47=1,IFERROR(INDEX(Actuals!$F$7:$F$56,MATCH($A47,Actuals!$A$7:$A$56,0)),""),"")</f>
        <v/>
      </c>
      <c r="AN47" s="14" t="str">
        <f>IF(I47=1,IFERROR(INDEX(Actuals!$G$7:$G$56,MATCH($A47,Actuals!$A$7:$A$56,0)),""),"")</f>
        <v/>
      </c>
      <c r="AO47" s="14" t="str">
        <f>IF(I47=1,IFERROR(INDEX(Actuals!$G$7:$G$56,MATCH($A47,Actuals!$A$7:$A$56,0)),"")+IFERROR(INDEX(Actuals!$H$7:$H$56,MATCH($A47,Actuals!$A$7:$A$56,0)),""),"")</f>
        <v/>
      </c>
      <c r="AP47" s="14" t="str">
        <f>IF(COUNTIFS(Cases!$A$7:$A$56,$A47,Cases!$G$7:$G$56,"&lt;&gt;")=1,IFERROR(INDEX(Cases!$G$7:$G$56,MATCH($A47,Cases!$A$7:$A$56,0)),""),"")</f>
        <v/>
      </c>
    </row>
    <row r="48" spans="1:42" ht="43.9" customHeight="1">
      <c r="A48" s="14" t="s">
        <v>139</v>
      </c>
      <c r="B48" s="14" t="str">
        <f>IF(COUNTIFS(Cases!$A$7:$A$56,$A48,Cases!$B$7:$B$56,"&lt;&gt;")=1,IFERROR(INDEX(Cases!$B$7:$B$56,MATCH($A48,Cases!$A$7:$A$56,0)),""),"")</f>
        <v>Inactive</v>
      </c>
      <c r="C48" s="14" t="str">
        <f>IF(COUNTIFS(Cases!$A$7:$A$56,$A48,Cases!$C$7:$C$56,"&lt;&gt;")=1,IFERROR(INDEX(Cases!$C$7:$C$56,MATCH($A48,Cases!$A$7:$A$56,0)),""),"")</f>
        <v/>
      </c>
      <c r="D48" s="14">
        <f>IF(AND(AG48=1,OR(B48="Example",B48="Live"),OR(AP48="Simplify",AP48="Replace",AP48="Reduce scope",AP48="Retire",AP48="Retain"),COUNTIFS(Cases!$A$7:$A$56,$A48,Cases!$C$7:$C$56,"&lt;&gt;")=1,COUNTIFS(Cases!$A$7:$A$56,$A48,Cases!$D$7:$D$56,"&lt;&gt;")=1,COUNTIFS(Cases!$A$7:$A$56,$A48,Cases!$E$7:$E$56,"&lt;&gt;")=1,COUNTIFS(Cases!$A$7:$A$56,$A48,Cases!$F$7:$F$56,"&lt;&gt;")=1,COUNTIFS(Cases!$A$7:$A$56,$A48,Cases!$H$7:$H$56,"&lt;&gt;")=1,COUNTIFS(Cases!$A$7:$A$56,$A48,Cases!$I$7:$I$56,"&lt;&gt;")=1,LEN(TRIM(IF(COUNTIFS(Cases!$A$7:$A$56,$A48,Cases!$C$7:$C$56,"&lt;&gt;")=1,IFERROR(INDEX(Cases!$C$7:$C$56,MATCH($A48,Cases!$A$7:$A$56,0)),""),"")))&gt;0,LEN(TRIM(IF(COUNTIFS(Cases!$A$7:$A$56,$A48,Cases!$D$7:$D$56,"&lt;&gt;")=1,IFERROR(INDEX(Cases!$D$7:$D$56,MATCH($A48,Cases!$A$7:$A$56,0)),""),"")))&gt;0,LEN(TRIM(IF(COUNTIFS(Cases!$A$7:$A$56,$A48,Cases!$E$7:$E$56,"&lt;&gt;")=1,IFERROR(INDEX(Cases!$E$7:$E$56,MATCH($A48,Cases!$A$7:$A$56,0)),""),"")))&gt;0,LEN(TRIM(IF(COUNTIFS(Cases!$A$7:$A$56,$A48,Cases!$F$7:$F$56,"&lt;&gt;")=1,IFERROR(INDEX(Cases!$F$7:$F$56,MATCH($A48,Cases!$A$7:$A$56,0)),""),"")))&gt;0,LEN(TRIM(IF(COUNTIFS(Cases!$A$7:$A$56,$A48,Cases!$H$7:$H$56,"&lt;&gt;")=1,IFERROR(INDEX(Cases!$H$7:$H$56,MATCH($A48,Cases!$A$7:$A$56,0)),""),"")))&gt;0,LEN(TRIM(IF(COUNTIFS(Cases!$A$7:$A$56,$A48,Cases!$I$7:$I$56,"&lt;&gt;")=1,IFERROR(INDEX(Cases!$I$7:$I$56,MATCH($A48,Cases!$A$7:$A$56,0)),""),"")))&gt;0),1,0)</f>
        <v>0</v>
      </c>
      <c r="E48" s="14">
        <f>IF(AND(AG48=1,IFERROR(INDEX(Current!$G$7:$G$56,MATCH($A48,Current!$A$7:$A$56,0)),"")="Ready"),1,0)</f>
        <v>0</v>
      </c>
      <c r="F48" s="14">
        <f>IF(AND(AG48=1,IFERROR(INDEX(Proposed!$H$7:$H$56,MATCH($A48,Proposed!$A$7:$A$56,0)),"")="Ready",OR(AP48&lt;&gt;"Retain",AND(IFERROR(INDEX(Current!$B$7:$B$56,MATCH($A48,Current!$A$7:$A$56,0)),"")=IFERROR(INDEX(Proposed!$B$7:$B$56,MATCH($A48,Proposed!$A$7:$A$56,0)),""),IFERROR(INDEX(Current!$C$7:$C$56,MATCH($A48,Current!$A$7:$A$56,0)),"")=IFERROR(INDEX(Proposed!$C$7:$C$56,MATCH($A48,Proposed!$A$7:$A$56,0)),""),IFERROR(INDEX(Current!$D$7:$D$56,MATCH($A48,Current!$A$7:$A$56,0)),"")=IFERROR(INDEX(Proposed!$D$7:$D$56,MATCH($A48,Proposed!$A$7:$A$56,0)),""),IFERROR(INDEX(Current!$E$7:$E$56,MATCH($A48,Current!$A$7:$A$56,0)),"")=IFERROR(INDEX(Proposed!$E$7:$E$56,MATCH($A48,Proposed!$A$7:$A$56,0)),"")))),1,0)</f>
        <v>0</v>
      </c>
      <c r="G48" s="14" t="str">
        <f>IF(COUNTIFS('Challenge Review'!$A$7:$A$56,$A48,'Challenge Review'!$K$7:$K$56,"&lt;&gt;")=1,IFERROR(INDEX('Challenge Review'!$K$7:$K$56,MATCH($A48,'Challenge Review'!$A$7:$A$56,0)),""),"")</f>
        <v>Unchecked</v>
      </c>
      <c r="H48" s="14">
        <f>IF(AND(AG48=1,IFERROR(INDEX('Review &amp; Decision'!$B$7:$B$56,MATCH($A48,'Review &amp; Decision'!$A$7:$A$56,0)),"")="Evidence-backed",OR(IFERROR(INDEX('Review &amp; Decision'!$C$7:$C$56,MATCH($A48,'Review &amp; Decision'!$A$7:$A$56,0)),"")="Equivalent or better",AND(IFERROR(INDEX('Review &amp; Decision'!$C$7:$C$56,MATCH($A48,'Review &amp; Decision'!$A$7:$A$56,0)),"")="Accepted reduction",COUNTIFS('Review &amp; Decision'!$A$7:$A$56,$A48,'Review &amp; Decision'!$L$7:$L$56,"&lt;&gt;")=1)),COUNTIFS('Review &amp; Decision'!$A$7:$A$56,$A48,'Review &amp; Decision'!$D$7:$D$56,"&lt;&gt;")=1,COUNTIFS('Review &amp; Decision'!$A$7:$A$56,$A48,'Review &amp; Decision'!$F$7:$F$56,"&lt;&gt;")=1,OR(IFERROR(INDEX('Review &amp; Decision'!$E$7:$E$56,MATCH($A48,'Review &amp; Decision'!$A$7:$A$56,0)),"")="Approved",IFERROR(INDEX('Review &amp; Decision'!$E$7:$E$56,MATCH($A48,'Review &amp; Decision'!$A$7:$A$56,0)),"")="Implemented"),ISNUMBER(IFERROR(INDEX('Review &amp; Decision'!$G$7:$G$56,MATCH($A48,'Review &amp; Decision'!$A$7:$A$56,0)),"")),IFERROR(INDEX('Review &amp; Decision'!$G$7:$G$56,MATCH($A48,'Review &amp; Decision'!$A$7:$A$56,0)),"")&gt;0,IFERROR(INDEX('Review &amp; Decision'!$G$7:$G$56,MATCH($A48,'Review &amp; Decision'!$A$7:$A$56,0)),"")&lt;=Settings!$B$7,ISNUMBER(IFERROR(INDEX('Review &amp; Decision'!$I$7:$I$56,MATCH($A48,'Review &amp; Decision'!$A$7:$A$56,0)),"")),IFERROR(INDEX('Review &amp; Decision'!$I$7:$I$56,MATCH($A48,'Review &amp; Decision'!$A$7:$A$56,0)),"")&gt;0,IFERROR(INDEX('Review &amp; Decision'!$I$7:$I$56,MATCH($A48,'Review &amp; Decision'!$A$7:$A$56,0)),"")&lt;=Settings!$B$7,IFERROR(INDEX('Review &amp; Decision'!$I$7:$I$56,MATCH($A48,'Review &amp; Decision'!$A$7:$A$56,0)),"")&gt;=IFERROR(INDEX('Review &amp; Decision'!$G$7:$G$56,MATCH($A48,'Review &amp; Decision'!$A$7:$A$56,0)),""),COUNTIFS('Review &amp; Decision'!$A$7:$A$56,$A48,'Review &amp; Decision'!$J$7:$J$56,"&lt;&gt;")=1,COUNTIFS('Review &amp; Decision'!$A$7:$A$56,$A48,'Review &amp; Decision'!$K$7:$K$56,"&lt;&gt;")=1,ISNUMBER(IFERROR(INDEX('Review &amp; Decision'!$J$7:$J$56,MATCH($A48,'Review &amp; Decision'!$A$7:$A$56,0)),"")),IFERROR(INDEX('Review &amp; Decision'!$J$7:$J$56,MATCH($A48,'Review &amp; Decision'!$A$7:$A$56,0)),"")&gt;=0,IFERROR(INDEX('Review &amp; Decision'!$J$7:$J$56,MATCH($A48,'Review &amp; Decision'!$A$7:$A$56,0)),"")&lt;=1,ISNUMBER(IFERROR(INDEX('Review &amp; Decision'!$K$7:$K$56,MATCH($A48,'Review &amp; Decision'!$A$7:$A$56,0)),"")),IFERROR(INDEX('Review &amp; Decision'!$K$7:$K$56,MATCH($A48,'Review &amp; Decision'!$A$7:$A$56,0)),"")&gt;=0,IFERROR(INDEX('Review &amp; Decision'!$K$7:$K$56,MATCH($A48,'Review &amp; Decision'!$A$7:$A$56,0)),"")&lt;=1,ISNUMBER(Settings!$B$7),Settings!$B$7&gt;0,OR(Settings!$B$8="Approved + measured",Settings!$B$8="Measured only"),LEN(TRIM(IF(COUNTIFS('Review &amp; Decision'!$A$7:$A$56,$A48,'Review &amp; Decision'!$D$7:$D$56,"&lt;&gt;")=1,IFERROR(INDEX('Review &amp; Decision'!$D$7:$D$56,MATCH($A48,'Review &amp; Decision'!$A$7:$A$56,0)),""),"")))&gt;0,LEN(TRIM(IF(COUNTIFS('Review &amp; Decision'!$A$7:$A$56,$A48,'Review &amp; Decision'!$F$7:$F$56,"&lt;&gt;")=1,IFERROR(INDEX('Review &amp; Decision'!$F$7:$F$56,MATCH($A48,'Review &amp; Decision'!$A$7:$A$56,0)),""),"")))&gt;0,OR(IFERROR(INDEX('Review &amp; Decision'!$C$7:$C$56,MATCH($A48,'Review &amp; Decision'!$A$7:$A$56,0)),"")&lt;&gt;"Accepted reduction",LEN(TRIM(IF(COUNTIFS('Review &amp; Decision'!$A$7:$A$56,$A48,'Review &amp; Decision'!$L$7:$L$56,"&lt;&gt;")=1,IFERROR(INDEX('Review &amp; Decision'!$L$7:$L$56,MATCH($A48,'Review &amp; Decision'!$A$7:$A$56,0)),""),"")))&gt;0)),1,0)</f>
        <v>0</v>
      </c>
      <c r="I48" s="14">
        <f>IF(AND(AG48=1,IFERROR(INDEX(Actuals!$M$7:$M$56,MATCH($A48,Actuals!$A$7:$A$56,0)),"")="Ready",IFERROR(INDEX(Actuals!$D$7:$D$56,MATCH($A48,Actuals!$A$7:$A$56,0)),"")&gt;=IFERROR(INDEX('Review &amp; Decision'!$I$7:$I$56,MATCH($A48,'Review &amp; Decision'!$A$7:$A$56,0)),"")),1,0)</f>
        <v>0</v>
      </c>
      <c r="J48" s="14" t="str">
        <f t="shared" si="12"/>
        <v>Unused slot</v>
      </c>
      <c r="K48" s="14">
        <f t="shared" si="13"/>
        <v>0</v>
      </c>
      <c r="L48" s="14">
        <f t="shared" si="14"/>
        <v>0</v>
      </c>
      <c r="M48" s="14">
        <f>IF(OR(L48=1,AND(K48=1,Settings!$B$8="Approved + measured")),1,0)</f>
        <v>0</v>
      </c>
      <c r="N48" s="14" t="str">
        <f>IF(E48=1,IFERROR(INDEX(Current!$H$7:$H$56,MATCH($A48,Current!$A$7:$A$56,0)),""),"")</f>
        <v/>
      </c>
      <c r="O48" s="14" t="str">
        <f>IF(F48=1,IFERROR(INDEX(Proposed!$I$7:$I$56,MATCH($A48,Proposed!$A$7:$A$56,0)),""),"")</f>
        <v/>
      </c>
      <c r="P48" s="14" t="str">
        <f t="shared" si="15"/>
        <v/>
      </c>
      <c r="Q48" s="14" t="str">
        <f>IF(E48=1,IFERROR(INDEX(Current!$I$7:$I$56,MATCH($A48,Current!$A$7:$A$56,0)),""),"")</f>
        <v/>
      </c>
      <c r="R48" s="14" t="str">
        <f>IF(F48=1,IFERROR(INDEX(Proposed!$J$7:$J$56,MATCH($A48,Proposed!$A$7:$A$56,0)),""),"")</f>
        <v/>
      </c>
      <c r="S48" s="14" t="str">
        <f t="shared" si="16"/>
        <v/>
      </c>
      <c r="T48" s="14" t="str">
        <f>IF(E48=1,IFERROR(INDEX(Current!$E$7:$E$56,MATCH($A48,Current!$A$7:$A$56,0)),""),"")</f>
        <v/>
      </c>
      <c r="U48" s="14" t="str">
        <f>IF(F48=1,IFERROR(INDEX(Proposed!$E$7:$E$56,MATCH($A48,Proposed!$A$7:$A$56,0)),""),"")</f>
        <v/>
      </c>
      <c r="V48" s="14" t="str">
        <f t="shared" si="17"/>
        <v/>
      </c>
      <c r="W48" s="14" t="str">
        <f>IF(E48=1,IFERROR(INDEX(Current!$K$7:$K$56,MATCH($A48,Current!$A$7:$A$56,0)),""),"")</f>
        <v/>
      </c>
      <c r="X48" s="14" t="str">
        <f>IF(F48=1,IFERROR(INDEX(Proposed!$L$7:$L$56,MATCH($A48,Proposed!$A$7:$A$56,0)),""),"")</f>
        <v/>
      </c>
      <c r="Y48" s="14" t="str">
        <f t="shared" si="18"/>
        <v/>
      </c>
      <c r="Z48" s="14" t="str">
        <f>IF(F48=1,IFERROR(INDEX(Proposed!$F$7:$F$56,MATCH($A48,Proposed!$A$7:$A$56,0)),""),"")</f>
        <v/>
      </c>
      <c r="AA48" s="14">
        <f>IF(M48=1,IF(IF(L48=1,AL48,P48)&gt;0,IF(L48=1,AL48,P48)*IFERROR(INDEX('Review &amp; Decision'!$J$7:$J$56,MATCH($A48,'Review &amp; Decision'!$A$7:$A$56,0)),""),IF(L48=1,AL48,P48)),0)</f>
        <v>0</v>
      </c>
      <c r="AB48" s="14">
        <f>IF(M48=1,IF(IF(L48=1,AM48,S48)&gt;0,IF(L48=1,AM48,S48)*IFERROR(INDEX('Review &amp; Decision'!$K$7:$K$56,MATCH($A48,'Review &amp; Decision'!$A$7:$A$56,0)),""),IF(L48=1,AM48,S48)),0)</f>
        <v>0</v>
      </c>
      <c r="AC48" s="14">
        <f t="shared" si="19"/>
        <v>0</v>
      </c>
      <c r="AD48" s="14">
        <f t="shared" si="20"/>
        <v>0</v>
      </c>
      <c r="AE48" s="14">
        <f t="shared" si="21"/>
        <v>0</v>
      </c>
      <c r="AF48" s="14" t="str">
        <f t="shared" si="22"/>
        <v>No measurement warning</v>
      </c>
      <c r="AG48" s="14">
        <f>IF(AND(COUNTIF(Cases!$A$7:$A$56,$A48)=1,COUNTIF(Current!$A$7:$A$56,$A48)=1,COUNTIF(Proposed!$A$7:$A$56,$A48)=1,COUNTIF('Review &amp; Decision'!$A$7:$A$56,$A48)=1,COUNTIF('Challenge Review'!$A$7:$A$56,$A48)=1,COUNTIF(Actuals!$A$7:$A$56,$A48)=1,COUNTIF(Classification!$A$7:$A$56,$A48)=1),1,0)</f>
        <v>1</v>
      </c>
      <c r="AH48" s="14">
        <f t="shared" si="23"/>
        <v>0</v>
      </c>
      <c r="AI48" s="14" t="str">
        <f>IF(COUNTIFS('Review &amp; Decision'!$A$7:$A$56,$A48,'Review &amp; Decision'!$H$7:$H$56,"&lt;&gt;")=1,IFERROR(INDEX('Review &amp; Decision'!$H$7:$H$56,MATCH($A48,'Review &amp; Decision'!$A$7:$A$56,0)),""),"")</f>
        <v/>
      </c>
      <c r="AJ48" s="14" t="str">
        <f>IF(COUNTIFS('Review &amp; Decision'!$A$7:$A$56,$A48,'Review &amp; Decision'!$E$7:$E$56,"&lt;&gt;")=1,IFERROR(INDEX('Review &amp; Decision'!$E$7:$E$56,MATCH($A48,'Review &amp; Decision'!$A$7:$A$56,0)),""),"")</f>
        <v/>
      </c>
      <c r="AK48" s="14" t="str">
        <f>IF(COUNTIFS('Review &amp; Decision'!$A$7:$A$56,$A48,'Review &amp; Decision'!$B$7:$B$56,"&lt;&gt;")=1,IFERROR(INDEX('Review &amp; Decision'!$B$7:$B$56,MATCH($A48,'Review &amp; Decision'!$A$7:$A$56,0)),""),"")</f>
        <v/>
      </c>
      <c r="AL48" s="14" t="str">
        <f>IF(I48=1,IFERROR(INDEX(Actuals!$E$7:$E$56,MATCH($A48,Actuals!$A$7:$A$56,0)),""),"")</f>
        <v/>
      </c>
      <c r="AM48" s="14" t="str">
        <f>IF(I48=1,IFERROR(INDEX(Actuals!$F$7:$F$56,MATCH($A48,Actuals!$A$7:$A$56,0)),""),"")</f>
        <v/>
      </c>
      <c r="AN48" s="14" t="str">
        <f>IF(I48=1,IFERROR(INDEX(Actuals!$G$7:$G$56,MATCH($A48,Actuals!$A$7:$A$56,0)),""),"")</f>
        <v/>
      </c>
      <c r="AO48" s="14" t="str">
        <f>IF(I48=1,IFERROR(INDEX(Actuals!$G$7:$G$56,MATCH($A48,Actuals!$A$7:$A$56,0)),"")+IFERROR(INDEX(Actuals!$H$7:$H$56,MATCH($A48,Actuals!$A$7:$A$56,0)),""),"")</f>
        <v/>
      </c>
      <c r="AP48" s="14" t="str">
        <f>IF(COUNTIFS(Cases!$A$7:$A$56,$A48,Cases!$G$7:$G$56,"&lt;&gt;")=1,IFERROR(INDEX(Cases!$G$7:$G$56,MATCH($A48,Cases!$A$7:$A$56,0)),""),"")</f>
        <v/>
      </c>
    </row>
    <row r="49" spans="1:42" ht="43.9" customHeight="1">
      <c r="A49" s="14" t="s">
        <v>140</v>
      </c>
      <c r="B49" s="14" t="str">
        <f>IF(COUNTIFS(Cases!$A$7:$A$56,$A49,Cases!$B$7:$B$56,"&lt;&gt;")=1,IFERROR(INDEX(Cases!$B$7:$B$56,MATCH($A49,Cases!$A$7:$A$56,0)),""),"")</f>
        <v>Inactive</v>
      </c>
      <c r="C49" s="14" t="str">
        <f>IF(COUNTIFS(Cases!$A$7:$A$56,$A49,Cases!$C$7:$C$56,"&lt;&gt;")=1,IFERROR(INDEX(Cases!$C$7:$C$56,MATCH($A49,Cases!$A$7:$A$56,0)),""),"")</f>
        <v/>
      </c>
      <c r="D49" s="14">
        <f>IF(AND(AG49=1,OR(B49="Example",B49="Live"),OR(AP49="Simplify",AP49="Replace",AP49="Reduce scope",AP49="Retire",AP49="Retain"),COUNTIFS(Cases!$A$7:$A$56,$A49,Cases!$C$7:$C$56,"&lt;&gt;")=1,COUNTIFS(Cases!$A$7:$A$56,$A49,Cases!$D$7:$D$56,"&lt;&gt;")=1,COUNTIFS(Cases!$A$7:$A$56,$A49,Cases!$E$7:$E$56,"&lt;&gt;")=1,COUNTIFS(Cases!$A$7:$A$56,$A49,Cases!$F$7:$F$56,"&lt;&gt;")=1,COUNTIFS(Cases!$A$7:$A$56,$A49,Cases!$H$7:$H$56,"&lt;&gt;")=1,COUNTIFS(Cases!$A$7:$A$56,$A49,Cases!$I$7:$I$56,"&lt;&gt;")=1,LEN(TRIM(IF(COUNTIFS(Cases!$A$7:$A$56,$A49,Cases!$C$7:$C$56,"&lt;&gt;")=1,IFERROR(INDEX(Cases!$C$7:$C$56,MATCH($A49,Cases!$A$7:$A$56,0)),""),"")))&gt;0,LEN(TRIM(IF(COUNTIFS(Cases!$A$7:$A$56,$A49,Cases!$D$7:$D$56,"&lt;&gt;")=1,IFERROR(INDEX(Cases!$D$7:$D$56,MATCH($A49,Cases!$A$7:$A$56,0)),""),"")))&gt;0,LEN(TRIM(IF(COUNTIFS(Cases!$A$7:$A$56,$A49,Cases!$E$7:$E$56,"&lt;&gt;")=1,IFERROR(INDEX(Cases!$E$7:$E$56,MATCH($A49,Cases!$A$7:$A$56,0)),""),"")))&gt;0,LEN(TRIM(IF(COUNTIFS(Cases!$A$7:$A$56,$A49,Cases!$F$7:$F$56,"&lt;&gt;")=1,IFERROR(INDEX(Cases!$F$7:$F$56,MATCH($A49,Cases!$A$7:$A$56,0)),""),"")))&gt;0,LEN(TRIM(IF(COUNTIFS(Cases!$A$7:$A$56,$A49,Cases!$H$7:$H$56,"&lt;&gt;")=1,IFERROR(INDEX(Cases!$H$7:$H$56,MATCH($A49,Cases!$A$7:$A$56,0)),""),"")))&gt;0,LEN(TRIM(IF(COUNTIFS(Cases!$A$7:$A$56,$A49,Cases!$I$7:$I$56,"&lt;&gt;")=1,IFERROR(INDEX(Cases!$I$7:$I$56,MATCH($A49,Cases!$A$7:$A$56,0)),""),"")))&gt;0),1,0)</f>
        <v>0</v>
      </c>
      <c r="E49" s="14">
        <f>IF(AND(AG49=1,IFERROR(INDEX(Current!$G$7:$G$56,MATCH($A49,Current!$A$7:$A$56,0)),"")="Ready"),1,0)</f>
        <v>0</v>
      </c>
      <c r="F49" s="14">
        <f>IF(AND(AG49=1,IFERROR(INDEX(Proposed!$H$7:$H$56,MATCH($A49,Proposed!$A$7:$A$56,0)),"")="Ready",OR(AP49&lt;&gt;"Retain",AND(IFERROR(INDEX(Current!$B$7:$B$56,MATCH($A49,Current!$A$7:$A$56,0)),"")=IFERROR(INDEX(Proposed!$B$7:$B$56,MATCH($A49,Proposed!$A$7:$A$56,0)),""),IFERROR(INDEX(Current!$C$7:$C$56,MATCH($A49,Current!$A$7:$A$56,0)),"")=IFERROR(INDEX(Proposed!$C$7:$C$56,MATCH($A49,Proposed!$A$7:$A$56,0)),""),IFERROR(INDEX(Current!$D$7:$D$56,MATCH($A49,Current!$A$7:$A$56,0)),"")=IFERROR(INDEX(Proposed!$D$7:$D$56,MATCH($A49,Proposed!$A$7:$A$56,0)),""),IFERROR(INDEX(Current!$E$7:$E$56,MATCH($A49,Current!$A$7:$A$56,0)),"")=IFERROR(INDEX(Proposed!$E$7:$E$56,MATCH($A49,Proposed!$A$7:$A$56,0)),"")))),1,0)</f>
        <v>0</v>
      </c>
      <c r="G49" s="14" t="str">
        <f>IF(COUNTIFS('Challenge Review'!$A$7:$A$56,$A49,'Challenge Review'!$K$7:$K$56,"&lt;&gt;")=1,IFERROR(INDEX('Challenge Review'!$K$7:$K$56,MATCH($A49,'Challenge Review'!$A$7:$A$56,0)),""),"")</f>
        <v>Unchecked</v>
      </c>
      <c r="H49" s="14">
        <f>IF(AND(AG49=1,IFERROR(INDEX('Review &amp; Decision'!$B$7:$B$56,MATCH($A49,'Review &amp; Decision'!$A$7:$A$56,0)),"")="Evidence-backed",OR(IFERROR(INDEX('Review &amp; Decision'!$C$7:$C$56,MATCH($A49,'Review &amp; Decision'!$A$7:$A$56,0)),"")="Equivalent or better",AND(IFERROR(INDEX('Review &amp; Decision'!$C$7:$C$56,MATCH($A49,'Review &amp; Decision'!$A$7:$A$56,0)),"")="Accepted reduction",COUNTIFS('Review &amp; Decision'!$A$7:$A$56,$A49,'Review &amp; Decision'!$L$7:$L$56,"&lt;&gt;")=1)),COUNTIFS('Review &amp; Decision'!$A$7:$A$56,$A49,'Review &amp; Decision'!$D$7:$D$56,"&lt;&gt;")=1,COUNTIFS('Review &amp; Decision'!$A$7:$A$56,$A49,'Review &amp; Decision'!$F$7:$F$56,"&lt;&gt;")=1,OR(IFERROR(INDEX('Review &amp; Decision'!$E$7:$E$56,MATCH($A49,'Review &amp; Decision'!$A$7:$A$56,0)),"")="Approved",IFERROR(INDEX('Review &amp; Decision'!$E$7:$E$56,MATCH($A49,'Review &amp; Decision'!$A$7:$A$56,0)),"")="Implemented"),ISNUMBER(IFERROR(INDEX('Review &amp; Decision'!$G$7:$G$56,MATCH($A49,'Review &amp; Decision'!$A$7:$A$56,0)),"")),IFERROR(INDEX('Review &amp; Decision'!$G$7:$G$56,MATCH($A49,'Review &amp; Decision'!$A$7:$A$56,0)),"")&gt;0,IFERROR(INDEX('Review &amp; Decision'!$G$7:$G$56,MATCH($A49,'Review &amp; Decision'!$A$7:$A$56,0)),"")&lt;=Settings!$B$7,ISNUMBER(IFERROR(INDEX('Review &amp; Decision'!$I$7:$I$56,MATCH($A49,'Review &amp; Decision'!$A$7:$A$56,0)),"")),IFERROR(INDEX('Review &amp; Decision'!$I$7:$I$56,MATCH($A49,'Review &amp; Decision'!$A$7:$A$56,0)),"")&gt;0,IFERROR(INDEX('Review &amp; Decision'!$I$7:$I$56,MATCH($A49,'Review &amp; Decision'!$A$7:$A$56,0)),"")&lt;=Settings!$B$7,IFERROR(INDEX('Review &amp; Decision'!$I$7:$I$56,MATCH($A49,'Review &amp; Decision'!$A$7:$A$56,0)),"")&gt;=IFERROR(INDEX('Review &amp; Decision'!$G$7:$G$56,MATCH($A49,'Review &amp; Decision'!$A$7:$A$56,0)),""),COUNTIFS('Review &amp; Decision'!$A$7:$A$56,$A49,'Review &amp; Decision'!$J$7:$J$56,"&lt;&gt;")=1,COUNTIFS('Review &amp; Decision'!$A$7:$A$56,$A49,'Review &amp; Decision'!$K$7:$K$56,"&lt;&gt;")=1,ISNUMBER(IFERROR(INDEX('Review &amp; Decision'!$J$7:$J$56,MATCH($A49,'Review &amp; Decision'!$A$7:$A$56,0)),"")),IFERROR(INDEX('Review &amp; Decision'!$J$7:$J$56,MATCH($A49,'Review &amp; Decision'!$A$7:$A$56,0)),"")&gt;=0,IFERROR(INDEX('Review &amp; Decision'!$J$7:$J$56,MATCH($A49,'Review &amp; Decision'!$A$7:$A$56,0)),"")&lt;=1,ISNUMBER(IFERROR(INDEX('Review &amp; Decision'!$K$7:$K$56,MATCH($A49,'Review &amp; Decision'!$A$7:$A$56,0)),"")),IFERROR(INDEX('Review &amp; Decision'!$K$7:$K$56,MATCH($A49,'Review &amp; Decision'!$A$7:$A$56,0)),"")&gt;=0,IFERROR(INDEX('Review &amp; Decision'!$K$7:$K$56,MATCH($A49,'Review &amp; Decision'!$A$7:$A$56,0)),"")&lt;=1,ISNUMBER(Settings!$B$7),Settings!$B$7&gt;0,OR(Settings!$B$8="Approved + measured",Settings!$B$8="Measured only"),LEN(TRIM(IF(COUNTIFS('Review &amp; Decision'!$A$7:$A$56,$A49,'Review &amp; Decision'!$D$7:$D$56,"&lt;&gt;")=1,IFERROR(INDEX('Review &amp; Decision'!$D$7:$D$56,MATCH($A49,'Review &amp; Decision'!$A$7:$A$56,0)),""),"")))&gt;0,LEN(TRIM(IF(COUNTIFS('Review &amp; Decision'!$A$7:$A$56,$A49,'Review &amp; Decision'!$F$7:$F$56,"&lt;&gt;")=1,IFERROR(INDEX('Review &amp; Decision'!$F$7:$F$56,MATCH($A49,'Review &amp; Decision'!$A$7:$A$56,0)),""),"")))&gt;0,OR(IFERROR(INDEX('Review &amp; Decision'!$C$7:$C$56,MATCH($A49,'Review &amp; Decision'!$A$7:$A$56,0)),"")&lt;&gt;"Accepted reduction",LEN(TRIM(IF(COUNTIFS('Review &amp; Decision'!$A$7:$A$56,$A49,'Review &amp; Decision'!$L$7:$L$56,"&lt;&gt;")=1,IFERROR(INDEX('Review &amp; Decision'!$L$7:$L$56,MATCH($A49,'Review &amp; Decision'!$A$7:$A$56,0)),""),"")))&gt;0)),1,0)</f>
        <v>0</v>
      </c>
      <c r="I49" s="14">
        <f>IF(AND(AG49=1,IFERROR(INDEX(Actuals!$M$7:$M$56,MATCH($A49,Actuals!$A$7:$A$56,0)),"")="Ready",IFERROR(INDEX(Actuals!$D$7:$D$56,MATCH($A49,Actuals!$A$7:$A$56,0)),"")&gt;=IFERROR(INDEX('Review &amp; Decision'!$I$7:$I$56,MATCH($A49,'Review &amp; Decision'!$A$7:$A$56,0)),"")),1,0)</f>
        <v>0</v>
      </c>
      <c r="J49" s="14" t="str">
        <f t="shared" si="12"/>
        <v>Unused slot</v>
      </c>
      <c r="K49" s="14">
        <f t="shared" si="13"/>
        <v>0</v>
      </c>
      <c r="L49" s="14">
        <f t="shared" si="14"/>
        <v>0</v>
      </c>
      <c r="M49" s="14">
        <f>IF(OR(L49=1,AND(K49=1,Settings!$B$8="Approved + measured")),1,0)</f>
        <v>0</v>
      </c>
      <c r="N49" s="14" t="str">
        <f>IF(E49=1,IFERROR(INDEX(Current!$H$7:$H$56,MATCH($A49,Current!$A$7:$A$56,0)),""),"")</f>
        <v/>
      </c>
      <c r="O49" s="14" t="str">
        <f>IF(F49=1,IFERROR(INDEX(Proposed!$I$7:$I$56,MATCH($A49,Proposed!$A$7:$A$56,0)),""),"")</f>
        <v/>
      </c>
      <c r="P49" s="14" t="str">
        <f t="shared" si="15"/>
        <v/>
      </c>
      <c r="Q49" s="14" t="str">
        <f>IF(E49=1,IFERROR(INDEX(Current!$I$7:$I$56,MATCH($A49,Current!$A$7:$A$56,0)),""),"")</f>
        <v/>
      </c>
      <c r="R49" s="14" t="str">
        <f>IF(F49=1,IFERROR(INDEX(Proposed!$J$7:$J$56,MATCH($A49,Proposed!$A$7:$A$56,0)),""),"")</f>
        <v/>
      </c>
      <c r="S49" s="14" t="str">
        <f t="shared" si="16"/>
        <v/>
      </c>
      <c r="T49" s="14" t="str">
        <f>IF(E49=1,IFERROR(INDEX(Current!$E$7:$E$56,MATCH($A49,Current!$A$7:$A$56,0)),""),"")</f>
        <v/>
      </c>
      <c r="U49" s="14" t="str">
        <f>IF(F49=1,IFERROR(INDEX(Proposed!$E$7:$E$56,MATCH($A49,Proposed!$A$7:$A$56,0)),""),"")</f>
        <v/>
      </c>
      <c r="V49" s="14" t="str">
        <f t="shared" si="17"/>
        <v/>
      </c>
      <c r="W49" s="14" t="str">
        <f>IF(E49=1,IFERROR(INDEX(Current!$K$7:$K$56,MATCH($A49,Current!$A$7:$A$56,0)),""),"")</f>
        <v/>
      </c>
      <c r="X49" s="14" t="str">
        <f>IF(F49=1,IFERROR(INDEX(Proposed!$L$7:$L$56,MATCH($A49,Proposed!$A$7:$A$56,0)),""),"")</f>
        <v/>
      </c>
      <c r="Y49" s="14" t="str">
        <f t="shared" si="18"/>
        <v/>
      </c>
      <c r="Z49" s="14" t="str">
        <f>IF(F49=1,IFERROR(INDEX(Proposed!$F$7:$F$56,MATCH($A49,Proposed!$A$7:$A$56,0)),""),"")</f>
        <v/>
      </c>
      <c r="AA49" s="14">
        <f>IF(M49=1,IF(IF(L49=1,AL49,P49)&gt;0,IF(L49=1,AL49,P49)*IFERROR(INDEX('Review &amp; Decision'!$J$7:$J$56,MATCH($A49,'Review &amp; Decision'!$A$7:$A$56,0)),""),IF(L49=1,AL49,P49)),0)</f>
        <v>0</v>
      </c>
      <c r="AB49" s="14">
        <f>IF(M49=1,IF(IF(L49=1,AM49,S49)&gt;0,IF(L49=1,AM49,S49)*IFERROR(INDEX('Review &amp; Decision'!$K$7:$K$56,MATCH($A49,'Review &amp; Decision'!$A$7:$A$56,0)),""),IF(L49=1,AM49,S49)),0)</f>
        <v>0</v>
      </c>
      <c r="AC49" s="14">
        <f t="shared" si="19"/>
        <v>0</v>
      </c>
      <c r="AD49" s="14">
        <f t="shared" si="20"/>
        <v>0</v>
      </c>
      <c r="AE49" s="14">
        <f t="shared" si="21"/>
        <v>0</v>
      </c>
      <c r="AF49" s="14" t="str">
        <f t="shared" si="22"/>
        <v>No measurement warning</v>
      </c>
      <c r="AG49" s="14">
        <f>IF(AND(COUNTIF(Cases!$A$7:$A$56,$A49)=1,COUNTIF(Current!$A$7:$A$56,$A49)=1,COUNTIF(Proposed!$A$7:$A$56,$A49)=1,COUNTIF('Review &amp; Decision'!$A$7:$A$56,$A49)=1,COUNTIF('Challenge Review'!$A$7:$A$56,$A49)=1,COUNTIF(Actuals!$A$7:$A$56,$A49)=1,COUNTIF(Classification!$A$7:$A$56,$A49)=1),1,0)</f>
        <v>1</v>
      </c>
      <c r="AH49" s="14">
        <f t="shared" si="23"/>
        <v>0</v>
      </c>
      <c r="AI49" s="14" t="str">
        <f>IF(COUNTIFS('Review &amp; Decision'!$A$7:$A$56,$A49,'Review &amp; Decision'!$H$7:$H$56,"&lt;&gt;")=1,IFERROR(INDEX('Review &amp; Decision'!$H$7:$H$56,MATCH($A49,'Review &amp; Decision'!$A$7:$A$56,0)),""),"")</f>
        <v/>
      </c>
      <c r="AJ49" s="14" t="str">
        <f>IF(COUNTIFS('Review &amp; Decision'!$A$7:$A$56,$A49,'Review &amp; Decision'!$E$7:$E$56,"&lt;&gt;")=1,IFERROR(INDEX('Review &amp; Decision'!$E$7:$E$56,MATCH($A49,'Review &amp; Decision'!$A$7:$A$56,0)),""),"")</f>
        <v/>
      </c>
      <c r="AK49" s="14" t="str">
        <f>IF(COUNTIFS('Review &amp; Decision'!$A$7:$A$56,$A49,'Review &amp; Decision'!$B$7:$B$56,"&lt;&gt;")=1,IFERROR(INDEX('Review &amp; Decision'!$B$7:$B$56,MATCH($A49,'Review &amp; Decision'!$A$7:$A$56,0)),""),"")</f>
        <v/>
      </c>
      <c r="AL49" s="14" t="str">
        <f>IF(I49=1,IFERROR(INDEX(Actuals!$E$7:$E$56,MATCH($A49,Actuals!$A$7:$A$56,0)),""),"")</f>
        <v/>
      </c>
      <c r="AM49" s="14" t="str">
        <f>IF(I49=1,IFERROR(INDEX(Actuals!$F$7:$F$56,MATCH($A49,Actuals!$A$7:$A$56,0)),""),"")</f>
        <v/>
      </c>
      <c r="AN49" s="14" t="str">
        <f>IF(I49=1,IFERROR(INDEX(Actuals!$G$7:$G$56,MATCH($A49,Actuals!$A$7:$A$56,0)),""),"")</f>
        <v/>
      </c>
      <c r="AO49" s="14" t="str">
        <f>IF(I49=1,IFERROR(INDEX(Actuals!$G$7:$G$56,MATCH($A49,Actuals!$A$7:$A$56,0)),"")+IFERROR(INDEX(Actuals!$H$7:$H$56,MATCH($A49,Actuals!$A$7:$A$56,0)),""),"")</f>
        <v/>
      </c>
      <c r="AP49" s="14" t="str">
        <f>IF(COUNTIFS(Cases!$A$7:$A$56,$A49,Cases!$G$7:$G$56,"&lt;&gt;")=1,IFERROR(INDEX(Cases!$G$7:$G$56,MATCH($A49,Cases!$A$7:$A$56,0)),""),"")</f>
        <v/>
      </c>
    </row>
    <row r="50" spans="1:42" ht="43.9" customHeight="1">
      <c r="A50" s="14" t="s">
        <v>141</v>
      </c>
      <c r="B50" s="14" t="str">
        <f>IF(COUNTIFS(Cases!$A$7:$A$56,$A50,Cases!$B$7:$B$56,"&lt;&gt;")=1,IFERROR(INDEX(Cases!$B$7:$B$56,MATCH($A50,Cases!$A$7:$A$56,0)),""),"")</f>
        <v>Inactive</v>
      </c>
      <c r="C50" s="14" t="str">
        <f>IF(COUNTIFS(Cases!$A$7:$A$56,$A50,Cases!$C$7:$C$56,"&lt;&gt;")=1,IFERROR(INDEX(Cases!$C$7:$C$56,MATCH($A50,Cases!$A$7:$A$56,0)),""),"")</f>
        <v/>
      </c>
      <c r="D50" s="14">
        <f>IF(AND(AG50=1,OR(B50="Example",B50="Live"),OR(AP50="Simplify",AP50="Replace",AP50="Reduce scope",AP50="Retire",AP50="Retain"),COUNTIFS(Cases!$A$7:$A$56,$A50,Cases!$C$7:$C$56,"&lt;&gt;")=1,COUNTIFS(Cases!$A$7:$A$56,$A50,Cases!$D$7:$D$56,"&lt;&gt;")=1,COUNTIFS(Cases!$A$7:$A$56,$A50,Cases!$E$7:$E$56,"&lt;&gt;")=1,COUNTIFS(Cases!$A$7:$A$56,$A50,Cases!$F$7:$F$56,"&lt;&gt;")=1,COUNTIFS(Cases!$A$7:$A$56,$A50,Cases!$H$7:$H$56,"&lt;&gt;")=1,COUNTIFS(Cases!$A$7:$A$56,$A50,Cases!$I$7:$I$56,"&lt;&gt;")=1,LEN(TRIM(IF(COUNTIFS(Cases!$A$7:$A$56,$A50,Cases!$C$7:$C$56,"&lt;&gt;")=1,IFERROR(INDEX(Cases!$C$7:$C$56,MATCH($A50,Cases!$A$7:$A$56,0)),""),"")))&gt;0,LEN(TRIM(IF(COUNTIFS(Cases!$A$7:$A$56,$A50,Cases!$D$7:$D$56,"&lt;&gt;")=1,IFERROR(INDEX(Cases!$D$7:$D$56,MATCH($A50,Cases!$A$7:$A$56,0)),""),"")))&gt;0,LEN(TRIM(IF(COUNTIFS(Cases!$A$7:$A$56,$A50,Cases!$E$7:$E$56,"&lt;&gt;")=1,IFERROR(INDEX(Cases!$E$7:$E$56,MATCH($A50,Cases!$A$7:$A$56,0)),""),"")))&gt;0,LEN(TRIM(IF(COUNTIFS(Cases!$A$7:$A$56,$A50,Cases!$F$7:$F$56,"&lt;&gt;")=1,IFERROR(INDEX(Cases!$F$7:$F$56,MATCH($A50,Cases!$A$7:$A$56,0)),""),"")))&gt;0,LEN(TRIM(IF(COUNTIFS(Cases!$A$7:$A$56,$A50,Cases!$H$7:$H$56,"&lt;&gt;")=1,IFERROR(INDEX(Cases!$H$7:$H$56,MATCH($A50,Cases!$A$7:$A$56,0)),""),"")))&gt;0,LEN(TRIM(IF(COUNTIFS(Cases!$A$7:$A$56,$A50,Cases!$I$7:$I$56,"&lt;&gt;")=1,IFERROR(INDEX(Cases!$I$7:$I$56,MATCH($A50,Cases!$A$7:$A$56,0)),""),"")))&gt;0),1,0)</f>
        <v>0</v>
      </c>
      <c r="E50" s="14">
        <f>IF(AND(AG50=1,IFERROR(INDEX(Current!$G$7:$G$56,MATCH($A50,Current!$A$7:$A$56,0)),"")="Ready"),1,0)</f>
        <v>0</v>
      </c>
      <c r="F50" s="14">
        <f>IF(AND(AG50=1,IFERROR(INDEX(Proposed!$H$7:$H$56,MATCH($A50,Proposed!$A$7:$A$56,0)),"")="Ready",OR(AP50&lt;&gt;"Retain",AND(IFERROR(INDEX(Current!$B$7:$B$56,MATCH($A50,Current!$A$7:$A$56,0)),"")=IFERROR(INDEX(Proposed!$B$7:$B$56,MATCH($A50,Proposed!$A$7:$A$56,0)),""),IFERROR(INDEX(Current!$C$7:$C$56,MATCH($A50,Current!$A$7:$A$56,0)),"")=IFERROR(INDEX(Proposed!$C$7:$C$56,MATCH($A50,Proposed!$A$7:$A$56,0)),""),IFERROR(INDEX(Current!$D$7:$D$56,MATCH($A50,Current!$A$7:$A$56,0)),"")=IFERROR(INDEX(Proposed!$D$7:$D$56,MATCH($A50,Proposed!$A$7:$A$56,0)),""),IFERROR(INDEX(Current!$E$7:$E$56,MATCH($A50,Current!$A$7:$A$56,0)),"")=IFERROR(INDEX(Proposed!$E$7:$E$56,MATCH($A50,Proposed!$A$7:$A$56,0)),"")))),1,0)</f>
        <v>0</v>
      </c>
      <c r="G50" s="14" t="str">
        <f>IF(COUNTIFS('Challenge Review'!$A$7:$A$56,$A50,'Challenge Review'!$K$7:$K$56,"&lt;&gt;")=1,IFERROR(INDEX('Challenge Review'!$K$7:$K$56,MATCH($A50,'Challenge Review'!$A$7:$A$56,0)),""),"")</f>
        <v>Unchecked</v>
      </c>
      <c r="H50" s="14">
        <f>IF(AND(AG50=1,IFERROR(INDEX('Review &amp; Decision'!$B$7:$B$56,MATCH($A50,'Review &amp; Decision'!$A$7:$A$56,0)),"")="Evidence-backed",OR(IFERROR(INDEX('Review &amp; Decision'!$C$7:$C$56,MATCH($A50,'Review &amp; Decision'!$A$7:$A$56,0)),"")="Equivalent or better",AND(IFERROR(INDEX('Review &amp; Decision'!$C$7:$C$56,MATCH($A50,'Review &amp; Decision'!$A$7:$A$56,0)),"")="Accepted reduction",COUNTIFS('Review &amp; Decision'!$A$7:$A$56,$A50,'Review &amp; Decision'!$L$7:$L$56,"&lt;&gt;")=1)),COUNTIFS('Review &amp; Decision'!$A$7:$A$56,$A50,'Review &amp; Decision'!$D$7:$D$56,"&lt;&gt;")=1,COUNTIFS('Review &amp; Decision'!$A$7:$A$56,$A50,'Review &amp; Decision'!$F$7:$F$56,"&lt;&gt;")=1,OR(IFERROR(INDEX('Review &amp; Decision'!$E$7:$E$56,MATCH($A50,'Review &amp; Decision'!$A$7:$A$56,0)),"")="Approved",IFERROR(INDEX('Review &amp; Decision'!$E$7:$E$56,MATCH($A50,'Review &amp; Decision'!$A$7:$A$56,0)),"")="Implemented"),ISNUMBER(IFERROR(INDEX('Review &amp; Decision'!$G$7:$G$56,MATCH($A50,'Review &amp; Decision'!$A$7:$A$56,0)),"")),IFERROR(INDEX('Review &amp; Decision'!$G$7:$G$56,MATCH($A50,'Review &amp; Decision'!$A$7:$A$56,0)),"")&gt;0,IFERROR(INDEX('Review &amp; Decision'!$G$7:$G$56,MATCH($A50,'Review &amp; Decision'!$A$7:$A$56,0)),"")&lt;=Settings!$B$7,ISNUMBER(IFERROR(INDEX('Review &amp; Decision'!$I$7:$I$56,MATCH($A50,'Review &amp; Decision'!$A$7:$A$56,0)),"")),IFERROR(INDEX('Review &amp; Decision'!$I$7:$I$56,MATCH($A50,'Review &amp; Decision'!$A$7:$A$56,0)),"")&gt;0,IFERROR(INDEX('Review &amp; Decision'!$I$7:$I$56,MATCH($A50,'Review &amp; Decision'!$A$7:$A$56,0)),"")&lt;=Settings!$B$7,IFERROR(INDEX('Review &amp; Decision'!$I$7:$I$56,MATCH($A50,'Review &amp; Decision'!$A$7:$A$56,0)),"")&gt;=IFERROR(INDEX('Review &amp; Decision'!$G$7:$G$56,MATCH($A50,'Review &amp; Decision'!$A$7:$A$56,0)),""),COUNTIFS('Review &amp; Decision'!$A$7:$A$56,$A50,'Review &amp; Decision'!$J$7:$J$56,"&lt;&gt;")=1,COUNTIFS('Review &amp; Decision'!$A$7:$A$56,$A50,'Review &amp; Decision'!$K$7:$K$56,"&lt;&gt;")=1,ISNUMBER(IFERROR(INDEX('Review &amp; Decision'!$J$7:$J$56,MATCH($A50,'Review &amp; Decision'!$A$7:$A$56,0)),"")),IFERROR(INDEX('Review &amp; Decision'!$J$7:$J$56,MATCH($A50,'Review &amp; Decision'!$A$7:$A$56,0)),"")&gt;=0,IFERROR(INDEX('Review &amp; Decision'!$J$7:$J$56,MATCH($A50,'Review &amp; Decision'!$A$7:$A$56,0)),"")&lt;=1,ISNUMBER(IFERROR(INDEX('Review &amp; Decision'!$K$7:$K$56,MATCH($A50,'Review &amp; Decision'!$A$7:$A$56,0)),"")),IFERROR(INDEX('Review &amp; Decision'!$K$7:$K$56,MATCH($A50,'Review &amp; Decision'!$A$7:$A$56,0)),"")&gt;=0,IFERROR(INDEX('Review &amp; Decision'!$K$7:$K$56,MATCH($A50,'Review &amp; Decision'!$A$7:$A$56,0)),"")&lt;=1,ISNUMBER(Settings!$B$7),Settings!$B$7&gt;0,OR(Settings!$B$8="Approved + measured",Settings!$B$8="Measured only"),LEN(TRIM(IF(COUNTIFS('Review &amp; Decision'!$A$7:$A$56,$A50,'Review &amp; Decision'!$D$7:$D$56,"&lt;&gt;")=1,IFERROR(INDEX('Review &amp; Decision'!$D$7:$D$56,MATCH($A50,'Review &amp; Decision'!$A$7:$A$56,0)),""),"")))&gt;0,LEN(TRIM(IF(COUNTIFS('Review &amp; Decision'!$A$7:$A$56,$A50,'Review &amp; Decision'!$F$7:$F$56,"&lt;&gt;")=1,IFERROR(INDEX('Review &amp; Decision'!$F$7:$F$56,MATCH($A50,'Review &amp; Decision'!$A$7:$A$56,0)),""),"")))&gt;0,OR(IFERROR(INDEX('Review &amp; Decision'!$C$7:$C$56,MATCH($A50,'Review &amp; Decision'!$A$7:$A$56,0)),"")&lt;&gt;"Accepted reduction",LEN(TRIM(IF(COUNTIFS('Review &amp; Decision'!$A$7:$A$56,$A50,'Review &amp; Decision'!$L$7:$L$56,"&lt;&gt;")=1,IFERROR(INDEX('Review &amp; Decision'!$L$7:$L$56,MATCH($A50,'Review &amp; Decision'!$A$7:$A$56,0)),""),"")))&gt;0)),1,0)</f>
        <v>0</v>
      </c>
      <c r="I50" s="14">
        <f>IF(AND(AG50=1,IFERROR(INDEX(Actuals!$M$7:$M$56,MATCH($A50,Actuals!$A$7:$A$56,0)),"")="Ready",IFERROR(INDEX(Actuals!$D$7:$D$56,MATCH($A50,Actuals!$A$7:$A$56,0)),"")&gt;=IFERROR(INDEX('Review &amp; Decision'!$I$7:$I$56,MATCH($A50,'Review &amp; Decision'!$A$7:$A$56,0)),"")),1,0)</f>
        <v>0</v>
      </c>
      <c r="J50" s="14" t="str">
        <f t="shared" si="12"/>
        <v>Unused slot</v>
      </c>
      <c r="K50" s="14">
        <f t="shared" si="13"/>
        <v>0</v>
      </c>
      <c r="L50" s="14">
        <f t="shared" si="14"/>
        <v>0</v>
      </c>
      <c r="M50" s="14">
        <f>IF(OR(L50=1,AND(K50=1,Settings!$B$8="Approved + measured")),1,0)</f>
        <v>0</v>
      </c>
      <c r="N50" s="14" t="str">
        <f>IF(E50=1,IFERROR(INDEX(Current!$H$7:$H$56,MATCH($A50,Current!$A$7:$A$56,0)),""),"")</f>
        <v/>
      </c>
      <c r="O50" s="14" t="str">
        <f>IF(F50=1,IFERROR(INDEX(Proposed!$I$7:$I$56,MATCH($A50,Proposed!$A$7:$A$56,0)),""),"")</f>
        <v/>
      </c>
      <c r="P50" s="14" t="str">
        <f t="shared" si="15"/>
        <v/>
      </c>
      <c r="Q50" s="14" t="str">
        <f>IF(E50=1,IFERROR(INDEX(Current!$I$7:$I$56,MATCH($A50,Current!$A$7:$A$56,0)),""),"")</f>
        <v/>
      </c>
      <c r="R50" s="14" t="str">
        <f>IF(F50=1,IFERROR(INDEX(Proposed!$J$7:$J$56,MATCH($A50,Proposed!$A$7:$A$56,0)),""),"")</f>
        <v/>
      </c>
      <c r="S50" s="14" t="str">
        <f t="shared" si="16"/>
        <v/>
      </c>
      <c r="T50" s="14" t="str">
        <f>IF(E50=1,IFERROR(INDEX(Current!$E$7:$E$56,MATCH($A50,Current!$A$7:$A$56,0)),""),"")</f>
        <v/>
      </c>
      <c r="U50" s="14" t="str">
        <f>IF(F50=1,IFERROR(INDEX(Proposed!$E$7:$E$56,MATCH($A50,Proposed!$A$7:$A$56,0)),""),"")</f>
        <v/>
      </c>
      <c r="V50" s="14" t="str">
        <f t="shared" si="17"/>
        <v/>
      </c>
      <c r="W50" s="14" t="str">
        <f>IF(E50=1,IFERROR(INDEX(Current!$K$7:$K$56,MATCH($A50,Current!$A$7:$A$56,0)),""),"")</f>
        <v/>
      </c>
      <c r="X50" s="14" t="str">
        <f>IF(F50=1,IFERROR(INDEX(Proposed!$L$7:$L$56,MATCH($A50,Proposed!$A$7:$A$56,0)),""),"")</f>
        <v/>
      </c>
      <c r="Y50" s="14" t="str">
        <f t="shared" si="18"/>
        <v/>
      </c>
      <c r="Z50" s="14" t="str">
        <f>IF(F50=1,IFERROR(INDEX(Proposed!$F$7:$F$56,MATCH($A50,Proposed!$A$7:$A$56,0)),""),"")</f>
        <v/>
      </c>
      <c r="AA50" s="14">
        <f>IF(M50=1,IF(IF(L50=1,AL50,P50)&gt;0,IF(L50=1,AL50,P50)*IFERROR(INDEX('Review &amp; Decision'!$J$7:$J$56,MATCH($A50,'Review &amp; Decision'!$A$7:$A$56,0)),""),IF(L50=1,AL50,P50)),0)</f>
        <v>0</v>
      </c>
      <c r="AB50" s="14">
        <f>IF(M50=1,IF(IF(L50=1,AM50,S50)&gt;0,IF(L50=1,AM50,S50)*IFERROR(INDEX('Review &amp; Decision'!$K$7:$K$56,MATCH($A50,'Review &amp; Decision'!$A$7:$A$56,0)),""),IF(L50=1,AM50,S50)),0)</f>
        <v>0</v>
      </c>
      <c r="AC50" s="14">
        <f t="shared" si="19"/>
        <v>0</v>
      </c>
      <c r="AD50" s="14">
        <f t="shared" si="20"/>
        <v>0</v>
      </c>
      <c r="AE50" s="14">
        <f t="shared" si="21"/>
        <v>0</v>
      </c>
      <c r="AF50" s="14" t="str">
        <f t="shared" si="22"/>
        <v>No measurement warning</v>
      </c>
      <c r="AG50" s="14">
        <f>IF(AND(COUNTIF(Cases!$A$7:$A$56,$A50)=1,COUNTIF(Current!$A$7:$A$56,$A50)=1,COUNTIF(Proposed!$A$7:$A$56,$A50)=1,COUNTIF('Review &amp; Decision'!$A$7:$A$56,$A50)=1,COUNTIF('Challenge Review'!$A$7:$A$56,$A50)=1,COUNTIF(Actuals!$A$7:$A$56,$A50)=1,COUNTIF(Classification!$A$7:$A$56,$A50)=1),1,0)</f>
        <v>1</v>
      </c>
      <c r="AH50" s="14">
        <f t="shared" si="23"/>
        <v>0</v>
      </c>
      <c r="AI50" s="14" t="str">
        <f>IF(COUNTIFS('Review &amp; Decision'!$A$7:$A$56,$A50,'Review &amp; Decision'!$H$7:$H$56,"&lt;&gt;")=1,IFERROR(INDEX('Review &amp; Decision'!$H$7:$H$56,MATCH($A50,'Review &amp; Decision'!$A$7:$A$56,0)),""),"")</f>
        <v/>
      </c>
      <c r="AJ50" s="14" t="str">
        <f>IF(COUNTIFS('Review &amp; Decision'!$A$7:$A$56,$A50,'Review &amp; Decision'!$E$7:$E$56,"&lt;&gt;")=1,IFERROR(INDEX('Review &amp; Decision'!$E$7:$E$56,MATCH($A50,'Review &amp; Decision'!$A$7:$A$56,0)),""),"")</f>
        <v/>
      </c>
      <c r="AK50" s="14" t="str">
        <f>IF(COUNTIFS('Review &amp; Decision'!$A$7:$A$56,$A50,'Review &amp; Decision'!$B$7:$B$56,"&lt;&gt;")=1,IFERROR(INDEX('Review &amp; Decision'!$B$7:$B$56,MATCH($A50,'Review &amp; Decision'!$A$7:$A$56,0)),""),"")</f>
        <v/>
      </c>
      <c r="AL50" s="14" t="str">
        <f>IF(I50=1,IFERROR(INDEX(Actuals!$E$7:$E$56,MATCH($A50,Actuals!$A$7:$A$56,0)),""),"")</f>
        <v/>
      </c>
      <c r="AM50" s="14" t="str">
        <f>IF(I50=1,IFERROR(INDEX(Actuals!$F$7:$F$56,MATCH($A50,Actuals!$A$7:$A$56,0)),""),"")</f>
        <v/>
      </c>
      <c r="AN50" s="14" t="str">
        <f>IF(I50=1,IFERROR(INDEX(Actuals!$G$7:$G$56,MATCH($A50,Actuals!$A$7:$A$56,0)),""),"")</f>
        <v/>
      </c>
      <c r="AO50" s="14" t="str">
        <f>IF(I50=1,IFERROR(INDEX(Actuals!$G$7:$G$56,MATCH($A50,Actuals!$A$7:$A$56,0)),"")+IFERROR(INDEX(Actuals!$H$7:$H$56,MATCH($A50,Actuals!$A$7:$A$56,0)),""),"")</f>
        <v/>
      </c>
      <c r="AP50" s="14" t="str">
        <f>IF(COUNTIFS(Cases!$A$7:$A$56,$A50,Cases!$G$7:$G$56,"&lt;&gt;")=1,IFERROR(INDEX(Cases!$G$7:$G$56,MATCH($A50,Cases!$A$7:$A$56,0)),""),"")</f>
        <v/>
      </c>
    </row>
    <row r="51" spans="1:42" ht="43.9" customHeight="1">
      <c r="A51" s="14" t="s">
        <v>142</v>
      </c>
      <c r="B51" s="14" t="str">
        <f>IF(COUNTIFS(Cases!$A$7:$A$56,$A51,Cases!$B$7:$B$56,"&lt;&gt;")=1,IFERROR(INDEX(Cases!$B$7:$B$56,MATCH($A51,Cases!$A$7:$A$56,0)),""),"")</f>
        <v>Inactive</v>
      </c>
      <c r="C51" s="14" t="str">
        <f>IF(COUNTIFS(Cases!$A$7:$A$56,$A51,Cases!$C$7:$C$56,"&lt;&gt;")=1,IFERROR(INDEX(Cases!$C$7:$C$56,MATCH($A51,Cases!$A$7:$A$56,0)),""),"")</f>
        <v/>
      </c>
      <c r="D51" s="14">
        <f>IF(AND(AG51=1,OR(B51="Example",B51="Live"),OR(AP51="Simplify",AP51="Replace",AP51="Reduce scope",AP51="Retire",AP51="Retain"),COUNTIFS(Cases!$A$7:$A$56,$A51,Cases!$C$7:$C$56,"&lt;&gt;")=1,COUNTIFS(Cases!$A$7:$A$56,$A51,Cases!$D$7:$D$56,"&lt;&gt;")=1,COUNTIFS(Cases!$A$7:$A$56,$A51,Cases!$E$7:$E$56,"&lt;&gt;")=1,COUNTIFS(Cases!$A$7:$A$56,$A51,Cases!$F$7:$F$56,"&lt;&gt;")=1,COUNTIFS(Cases!$A$7:$A$56,$A51,Cases!$H$7:$H$56,"&lt;&gt;")=1,COUNTIFS(Cases!$A$7:$A$56,$A51,Cases!$I$7:$I$56,"&lt;&gt;")=1,LEN(TRIM(IF(COUNTIFS(Cases!$A$7:$A$56,$A51,Cases!$C$7:$C$56,"&lt;&gt;")=1,IFERROR(INDEX(Cases!$C$7:$C$56,MATCH($A51,Cases!$A$7:$A$56,0)),""),"")))&gt;0,LEN(TRIM(IF(COUNTIFS(Cases!$A$7:$A$56,$A51,Cases!$D$7:$D$56,"&lt;&gt;")=1,IFERROR(INDEX(Cases!$D$7:$D$56,MATCH($A51,Cases!$A$7:$A$56,0)),""),"")))&gt;0,LEN(TRIM(IF(COUNTIFS(Cases!$A$7:$A$56,$A51,Cases!$E$7:$E$56,"&lt;&gt;")=1,IFERROR(INDEX(Cases!$E$7:$E$56,MATCH($A51,Cases!$A$7:$A$56,0)),""),"")))&gt;0,LEN(TRIM(IF(COUNTIFS(Cases!$A$7:$A$56,$A51,Cases!$F$7:$F$56,"&lt;&gt;")=1,IFERROR(INDEX(Cases!$F$7:$F$56,MATCH($A51,Cases!$A$7:$A$56,0)),""),"")))&gt;0,LEN(TRIM(IF(COUNTIFS(Cases!$A$7:$A$56,$A51,Cases!$H$7:$H$56,"&lt;&gt;")=1,IFERROR(INDEX(Cases!$H$7:$H$56,MATCH($A51,Cases!$A$7:$A$56,0)),""),"")))&gt;0,LEN(TRIM(IF(COUNTIFS(Cases!$A$7:$A$56,$A51,Cases!$I$7:$I$56,"&lt;&gt;")=1,IFERROR(INDEX(Cases!$I$7:$I$56,MATCH($A51,Cases!$A$7:$A$56,0)),""),"")))&gt;0),1,0)</f>
        <v>0</v>
      </c>
      <c r="E51" s="14">
        <f>IF(AND(AG51=1,IFERROR(INDEX(Current!$G$7:$G$56,MATCH($A51,Current!$A$7:$A$56,0)),"")="Ready"),1,0)</f>
        <v>0</v>
      </c>
      <c r="F51" s="14">
        <f>IF(AND(AG51=1,IFERROR(INDEX(Proposed!$H$7:$H$56,MATCH($A51,Proposed!$A$7:$A$56,0)),"")="Ready",OR(AP51&lt;&gt;"Retain",AND(IFERROR(INDEX(Current!$B$7:$B$56,MATCH($A51,Current!$A$7:$A$56,0)),"")=IFERROR(INDEX(Proposed!$B$7:$B$56,MATCH($A51,Proposed!$A$7:$A$56,0)),""),IFERROR(INDEX(Current!$C$7:$C$56,MATCH($A51,Current!$A$7:$A$56,0)),"")=IFERROR(INDEX(Proposed!$C$7:$C$56,MATCH($A51,Proposed!$A$7:$A$56,0)),""),IFERROR(INDEX(Current!$D$7:$D$56,MATCH($A51,Current!$A$7:$A$56,0)),"")=IFERROR(INDEX(Proposed!$D$7:$D$56,MATCH($A51,Proposed!$A$7:$A$56,0)),""),IFERROR(INDEX(Current!$E$7:$E$56,MATCH($A51,Current!$A$7:$A$56,0)),"")=IFERROR(INDEX(Proposed!$E$7:$E$56,MATCH($A51,Proposed!$A$7:$A$56,0)),"")))),1,0)</f>
        <v>0</v>
      </c>
      <c r="G51" s="14" t="str">
        <f>IF(COUNTIFS('Challenge Review'!$A$7:$A$56,$A51,'Challenge Review'!$K$7:$K$56,"&lt;&gt;")=1,IFERROR(INDEX('Challenge Review'!$K$7:$K$56,MATCH($A51,'Challenge Review'!$A$7:$A$56,0)),""),"")</f>
        <v>Unchecked</v>
      </c>
      <c r="H51" s="14">
        <f>IF(AND(AG51=1,IFERROR(INDEX('Review &amp; Decision'!$B$7:$B$56,MATCH($A51,'Review &amp; Decision'!$A$7:$A$56,0)),"")="Evidence-backed",OR(IFERROR(INDEX('Review &amp; Decision'!$C$7:$C$56,MATCH($A51,'Review &amp; Decision'!$A$7:$A$56,0)),"")="Equivalent or better",AND(IFERROR(INDEX('Review &amp; Decision'!$C$7:$C$56,MATCH($A51,'Review &amp; Decision'!$A$7:$A$56,0)),"")="Accepted reduction",COUNTIFS('Review &amp; Decision'!$A$7:$A$56,$A51,'Review &amp; Decision'!$L$7:$L$56,"&lt;&gt;")=1)),COUNTIFS('Review &amp; Decision'!$A$7:$A$56,$A51,'Review &amp; Decision'!$D$7:$D$56,"&lt;&gt;")=1,COUNTIFS('Review &amp; Decision'!$A$7:$A$56,$A51,'Review &amp; Decision'!$F$7:$F$56,"&lt;&gt;")=1,OR(IFERROR(INDEX('Review &amp; Decision'!$E$7:$E$56,MATCH($A51,'Review &amp; Decision'!$A$7:$A$56,0)),"")="Approved",IFERROR(INDEX('Review &amp; Decision'!$E$7:$E$56,MATCH($A51,'Review &amp; Decision'!$A$7:$A$56,0)),"")="Implemented"),ISNUMBER(IFERROR(INDEX('Review &amp; Decision'!$G$7:$G$56,MATCH($A51,'Review &amp; Decision'!$A$7:$A$56,0)),"")),IFERROR(INDEX('Review &amp; Decision'!$G$7:$G$56,MATCH($A51,'Review &amp; Decision'!$A$7:$A$56,0)),"")&gt;0,IFERROR(INDEX('Review &amp; Decision'!$G$7:$G$56,MATCH($A51,'Review &amp; Decision'!$A$7:$A$56,0)),"")&lt;=Settings!$B$7,ISNUMBER(IFERROR(INDEX('Review &amp; Decision'!$I$7:$I$56,MATCH($A51,'Review &amp; Decision'!$A$7:$A$56,0)),"")),IFERROR(INDEX('Review &amp; Decision'!$I$7:$I$56,MATCH($A51,'Review &amp; Decision'!$A$7:$A$56,0)),"")&gt;0,IFERROR(INDEX('Review &amp; Decision'!$I$7:$I$56,MATCH($A51,'Review &amp; Decision'!$A$7:$A$56,0)),"")&lt;=Settings!$B$7,IFERROR(INDEX('Review &amp; Decision'!$I$7:$I$56,MATCH($A51,'Review &amp; Decision'!$A$7:$A$56,0)),"")&gt;=IFERROR(INDEX('Review &amp; Decision'!$G$7:$G$56,MATCH($A51,'Review &amp; Decision'!$A$7:$A$56,0)),""),COUNTIFS('Review &amp; Decision'!$A$7:$A$56,$A51,'Review &amp; Decision'!$J$7:$J$56,"&lt;&gt;")=1,COUNTIFS('Review &amp; Decision'!$A$7:$A$56,$A51,'Review &amp; Decision'!$K$7:$K$56,"&lt;&gt;")=1,ISNUMBER(IFERROR(INDEX('Review &amp; Decision'!$J$7:$J$56,MATCH($A51,'Review &amp; Decision'!$A$7:$A$56,0)),"")),IFERROR(INDEX('Review &amp; Decision'!$J$7:$J$56,MATCH($A51,'Review &amp; Decision'!$A$7:$A$56,0)),"")&gt;=0,IFERROR(INDEX('Review &amp; Decision'!$J$7:$J$56,MATCH($A51,'Review &amp; Decision'!$A$7:$A$56,0)),"")&lt;=1,ISNUMBER(IFERROR(INDEX('Review &amp; Decision'!$K$7:$K$56,MATCH($A51,'Review &amp; Decision'!$A$7:$A$56,0)),"")),IFERROR(INDEX('Review &amp; Decision'!$K$7:$K$56,MATCH($A51,'Review &amp; Decision'!$A$7:$A$56,0)),"")&gt;=0,IFERROR(INDEX('Review &amp; Decision'!$K$7:$K$56,MATCH($A51,'Review &amp; Decision'!$A$7:$A$56,0)),"")&lt;=1,ISNUMBER(Settings!$B$7),Settings!$B$7&gt;0,OR(Settings!$B$8="Approved + measured",Settings!$B$8="Measured only"),LEN(TRIM(IF(COUNTIFS('Review &amp; Decision'!$A$7:$A$56,$A51,'Review &amp; Decision'!$D$7:$D$56,"&lt;&gt;")=1,IFERROR(INDEX('Review &amp; Decision'!$D$7:$D$56,MATCH($A51,'Review &amp; Decision'!$A$7:$A$56,0)),""),"")))&gt;0,LEN(TRIM(IF(COUNTIFS('Review &amp; Decision'!$A$7:$A$56,$A51,'Review &amp; Decision'!$F$7:$F$56,"&lt;&gt;")=1,IFERROR(INDEX('Review &amp; Decision'!$F$7:$F$56,MATCH($A51,'Review &amp; Decision'!$A$7:$A$56,0)),""),"")))&gt;0,OR(IFERROR(INDEX('Review &amp; Decision'!$C$7:$C$56,MATCH($A51,'Review &amp; Decision'!$A$7:$A$56,0)),"")&lt;&gt;"Accepted reduction",LEN(TRIM(IF(COUNTIFS('Review &amp; Decision'!$A$7:$A$56,$A51,'Review &amp; Decision'!$L$7:$L$56,"&lt;&gt;")=1,IFERROR(INDEX('Review &amp; Decision'!$L$7:$L$56,MATCH($A51,'Review &amp; Decision'!$A$7:$A$56,0)),""),"")))&gt;0)),1,0)</f>
        <v>0</v>
      </c>
      <c r="I51" s="14">
        <f>IF(AND(AG51=1,IFERROR(INDEX(Actuals!$M$7:$M$56,MATCH($A51,Actuals!$A$7:$A$56,0)),"")="Ready",IFERROR(INDEX(Actuals!$D$7:$D$56,MATCH($A51,Actuals!$A$7:$A$56,0)),"")&gt;=IFERROR(INDEX('Review &amp; Decision'!$I$7:$I$56,MATCH($A51,'Review &amp; Decision'!$A$7:$A$56,0)),"")),1,0)</f>
        <v>0</v>
      </c>
      <c r="J51" s="14" t="str">
        <f t="shared" si="12"/>
        <v>Unused slot</v>
      </c>
      <c r="K51" s="14">
        <f t="shared" si="13"/>
        <v>0</v>
      </c>
      <c r="L51" s="14">
        <f t="shared" si="14"/>
        <v>0</v>
      </c>
      <c r="M51" s="14">
        <f>IF(OR(L51=1,AND(K51=1,Settings!$B$8="Approved + measured")),1,0)</f>
        <v>0</v>
      </c>
      <c r="N51" s="14" t="str">
        <f>IF(E51=1,IFERROR(INDEX(Current!$H$7:$H$56,MATCH($A51,Current!$A$7:$A$56,0)),""),"")</f>
        <v/>
      </c>
      <c r="O51" s="14" t="str">
        <f>IF(F51=1,IFERROR(INDEX(Proposed!$I$7:$I$56,MATCH($A51,Proposed!$A$7:$A$56,0)),""),"")</f>
        <v/>
      </c>
      <c r="P51" s="14" t="str">
        <f t="shared" si="15"/>
        <v/>
      </c>
      <c r="Q51" s="14" t="str">
        <f>IF(E51=1,IFERROR(INDEX(Current!$I$7:$I$56,MATCH($A51,Current!$A$7:$A$56,0)),""),"")</f>
        <v/>
      </c>
      <c r="R51" s="14" t="str">
        <f>IF(F51=1,IFERROR(INDEX(Proposed!$J$7:$J$56,MATCH($A51,Proposed!$A$7:$A$56,0)),""),"")</f>
        <v/>
      </c>
      <c r="S51" s="14" t="str">
        <f t="shared" si="16"/>
        <v/>
      </c>
      <c r="T51" s="14" t="str">
        <f>IF(E51=1,IFERROR(INDEX(Current!$E$7:$E$56,MATCH($A51,Current!$A$7:$A$56,0)),""),"")</f>
        <v/>
      </c>
      <c r="U51" s="14" t="str">
        <f>IF(F51=1,IFERROR(INDEX(Proposed!$E$7:$E$56,MATCH($A51,Proposed!$A$7:$A$56,0)),""),"")</f>
        <v/>
      </c>
      <c r="V51" s="14" t="str">
        <f t="shared" si="17"/>
        <v/>
      </c>
      <c r="W51" s="14" t="str">
        <f>IF(E51=1,IFERROR(INDEX(Current!$K$7:$K$56,MATCH($A51,Current!$A$7:$A$56,0)),""),"")</f>
        <v/>
      </c>
      <c r="X51" s="14" t="str">
        <f>IF(F51=1,IFERROR(INDEX(Proposed!$L$7:$L$56,MATCH($A51,Proposed!$A$7:$A$56,0)),""),"")</f>
        <v/>
      </c>
      <c r="Y51" s="14" t="str">
        <f t="shared" si="18"/>
        <v/>
      </c>
      <c r="Z51" s="14" t="str">
        <f>IF(F51=1,IFERROR(INDEX(Proposed!$F$7:$F$56,MATCH($A51,Proposed!$A$7:$A$56,0)),""),"")</f>
        <v/>
      </c>
      <c r="AA51" s="14">
        <f>IF(M51=1,IF(IF(L51=1,AL51,P51)&gt;0,IF(L51=1,AL51,P51)*IFERROR(INDEX('Review &amp; Decision'!$J$7:$J$56,MATCH($A51,'Review &amp; Decision'!$A$7:$A$56,0)),""),IF(L51=1,AL51,P51)),0)</f>
        <v>0</v>
      </c>
      <c r="AB51" s="14">
        <f>IF(M51=1,IF(IF(L51=1,AM51,S51)&gt;0,IF(L51=1,AM51,S51)*IFERROR(INDEX('Review &amp; Decision'!$K$7:$K$56,MATCH($A51,'Review &amp; Decision'!$A$7:$A$56,0)),""),IF(L51=1,AM51,S51)),0)</f>
        <v>0</v>
      </c>
      <c r="AC51" s="14">
        <f t="shared" si="19"/>
        <v>0</v>
      </c>
      <c r="AD51" s="14">
        <f t="shared" si="20"/>
        <v>0</v>
      </c>
      <c r="AE51" s="14">
        <f t="shared" si="21"/>
        <v>0</v>
      </c>
      <c r="AF51" s="14" t="str">
        <f t="shared" si="22"/>
        <v>No measurement warning</v>
      </c>
      <c r="AG51" s="14">
        <f>IF(AND(COUNTIF(Cases!$A$7:$A$56,$A51)=1,COUNTIF(Current!$A$7:$A$56,$A51)=1,COUNTIF(Proposed!$A$7:$A$56,$A51)=1,COUNTIF('Review &amp; Decision'!$A$7:$A$56,$A51)=1,COUNTIF('Challenge Review'!$A$7:$A$56,$A51)=1,COUNTIF(Actuals!$A$7:$A$56,$A51)=1,COUNTIF(Classification!$A$7:$A$56,$A51)=1),1,0)</f>
        <v>1</v>
      </c>
      <c r="AH51" s="14">
        <f t="shared" si="23"/>
        <v>0</v>
      </c>
      <c r="AI51" s="14" t="str">
        <f>IF(COUNTIFS('Review &amp; Decision'!$A$7:$A$56,$A51,'Review &amp; Decision'!$H$7:$H$56,"&lt;&gt;")=1,IFERROR(INDEX('Review &amp; Decision'!$H$7:$H$56,MATCH($A51,'Review &amp; Decision'!$A$7:$A$56,0)),""),"")</f>
        <v/>
      </c>
      <c r="AJ51" s="14" t="str">
        <f>IF(COUNTIFS('Review &amp; Decision'!$A$7:$A$56,$A51,'Review &amp; Decision'!$E$7:$E$56,"&lt;&gt;")=1,IFERROR(INDEX('Review &amp; Decision'!$E$7:$E$56,MATCH($A51,'Review &amp; Decision'!$A$7:$A$56,0)),""),"")</f>
        <v/>
      </c>
      <c r="AK51" s="14" t="str">
        <f>IF(COUNTIFS('Review &amp; Decision'!$A$7:$A$56,$A51,'Review &amp; Decision'!$B$7:$B$56,"&lt;&gt;")=1,IFERROR(INDEX('Review &amp; Decision'!$B$7:$B$56,MATCH($A51,'Review &amp; Decision'!$A$7:$A$56,0)),""),"")</f>
        <v/>
      </c>
      <c r="AL51" s="14" t="str">
        <f>IF(I51=1,IFERROR(INDEX(Actuals!$E$7:$E$56,MATCH($A51,Actuals!$A$7:$A$56,0)),""),"")</f>
        <v/>
      </c>
      <c r="AM51" s="14" t="str">
        <f>IF(I51=1,IFERROR(INDEX(Actuals!$F$7:$F$56,MATCH($A51,Actuals!$A$7:$A$56,0)),""),"")</f>
        <v/>
      </c>
      <c r="AN51" s="14" t="str">
        <f>IF(I51=1,IFERROR(INDEX(Actuals!$G$7:$G$56,MATCH($A51,Actuals!$A$7:$A$56,0)),""),"")</f>
        <v/>
      </c>
      <c r="AO51" s="14" t="str">
        <f>IF(I51=1,IFERROR(INDEX(Actuals!$G$7:$G$56,MATCH($A51,Actuals!$A$7:$A$56,0)),"")+IFERROR(INDEX(Actuals!$H$7:$H$56,MATCH($A51,Actuals!$A$7:$A$56,0)),""),"")</f>
        <v/>
      </c>
      <c r="AP51" s="14" t="str">
        <f>IF(COUNTIFS(Cases!$A$7:$A$56,$A51,Cases!$G$7:$G$56,"&lt;&gt;")=1,IFERROR(INDEX(Cases!$G$7:$G$56,MATCH($A51,Cases!$A$7:$A$56,0)),""),"")</f>
        <v/>
      </c>
    </row>
    <row r="52" spans="1:42" ht="43.9" customHeight="1">
      <c r="A52" s="14" t="s">
        <v>143</v>
      </c>
      <c r="B52" s="14" t="str">
        <f>IF(COUNTIFS(Cases!$A$7:$A$56,$A52,Cases!$B$7:$B$56,"&lt;&gt;")=1,IFERROR(INDEX(Cases!$B$7:$B$56,MATCH($A52,Cases!$A$7:$A$56,0)),""),"")</f>
        <v>Inactive</v>
      </c>
      <c r="C52" s="14" t="str">
        <f>IF(COUNTIFS(Cases!$A$7:$A$56,$A52,Cases!$C$7:$C$56,"&lt;&gt;")=1,IFERROR(INDEX(Cases!$C$7:$C$56,MATCH($A52,Cases!$A$7:$A$56,0)),""),"")</f>
        <v/>
      </c>
      <c r="D52" s="14">
        <f>IF(AND(AG52=1,OR(B52="Example",B52="Live"),OR(AP52="Simplify",AP52="Replace",AP52="Reduce scope",AP52="Retire",AP52="Retain"),COUNTIFS(Cases!$A$7:$A$56,$A52,Cases!$C$7:$C$56,"&lt;&gt;")=1,COUNTIFS(Cases!$A$7:$A$56,$A52,Cases!$D$7:$D$56,"&lt;&gt;")=1,COUNTIFS(Cases!$A$7:$A$56,$A52,Cases!$E$7:$E$56,"&lt;&gt;")=1,COUNTIFS(Cases!$A$7:$A$56,$A52,Cases!$F$7:$F$56,"&lt;&gt;")=1,COUNTIFS(Cases!$A$7:$A$56,$A52,Cases!$H$7:$H$56,"&lt;&gt;")=1,COUNTIFS(Cases!$A$7:$A$56,$A52,Cases!$I$7:$I$56,"&lt;&gt;")=1,LEN(TRIM(IF(COUNTIFS(Cases!$A$7:$A$56,$A52,Cases!$C$7:$C$56,"&lt;&gt;")=1,IFERROR(INDEX(Cases!$C$7:$C$56,MATCH($A52,Cases!$A$7:$A$56,0)),""),"")))&gt;0,LEN(TRIM(IF(COUNTIFS(Cases!$A$7:$A$56,$A52,Cases!$D$7:$D$56,"&lt;&gt;")=1,IFERROR(INDEX(Cases!$D$7:$D$56,MATCH($A52,Cases!$A$7:$A$56,0)),""),"")))&gt;0,LEN(TRIM(IF(COUNTIFS(Cases!$A$7:$A$56,$A52,Cases!$E$7:$E$56,"&lt;&gt;")=1,IFERROR(INDEX(Cases!$E$7:$E$56,MATCH($A52,Cases!$A$7:$A$56,0)),""),"")))&gt;0,LEN(TRIM(IF(COUNTIFS(Cases!$A$7:$A$56,$A52,Cases!$F$7:$F$56,"&lt;&gt;")=1,IFERROR(INDEX(Cases!$F$7:$F$56,MATCH($A52,Cases!$A$7:$A$56,0)),""),"")))&gt;0,LEN(TRIM(IF(COUNTIFS(Cases!$A$7:$A$56,$A52,Cases!$H$7:$H$56,"&lt;&gt;")=1,IFERROR(INDEX(Cases!$H$7:$H$56,MATCH($A52,Cases!$A$7:$A$56,0)),""),"")))&gt;0,LEN(TRIM(IF(COUNTIFS(Cases!$A$7:$A$56,$A52,Cases!$I$7:$I$56,"&lt;&gt;")=1,IFERROR(INDEX(Cases!$I$7:$I$56,MATCH($A52,Cases!$A$7:$A$56,0)),""),"")))&gt;0),1,0)</f>
        <v>0</v>
      </c>
      <c r="E52" s="14">
        <f>IF(AND(AG52=1,IFERROR(INDEX(Current!$G$7:$G$56,MATCH($A52,Current!$A$7:$A$56,0)),"")="Ready"),1,0)</f>
        <v>0</v>
      </c>
      <c r="F52" s="14">
        <f>IF(AND(AG52=1,IFERROR(INDEX(Proposed!$H$7:$H$56,MATCH($A52,Proposed!$A$7:$A$56,0)),"")="Ready",OR(AP52&lt;&gt;"Retain",AND(IFERROR(INDEX(Current!$B$7:$B$56,MATCH($A52,Current!$A$7:$A$56,0)),"")=IFERROR(INDEX(Proposed!$B$7:$B$56,MATCH($A52,Proposed!$A$7:$A$56,0)),""),IFERROR(INDEX(Current!$C$7:$C$56,MATCH($A52,Current!$A$7:$A$56,0)),"")=IFERROR(INDEX(Proposed!$C$7:$C$56,MATCH($A52,Proposed!$A$7:$A$56,0)),""),IFERROR(INDEX(Current!$D$7:$D$56,MATCH($A52,Current!$A$7:$A$56,0)),"")=IFERROR(INDEX(Proposed!$D$7:$D$56,MATCH($A52,Proposed!$A$7:$A$56,0)),""),IFERROR(INDEX(Current!$E$7:$E$56,MATCH($A52,Current!$A$7:$A$56,0)),"")=IFERROR(INDEX(Proposed!$E$7:$E$56,MATCH($A52,Proposed!$A$7:$A$56,0)),"")))),1,0)</f>
        <v>0</v>
      </c>
      <c r="G52" s="14" t="str">
        <f>IF(COUNTIFS('Challenge Review'!$A$7:$A$56,$A52,'Challenge Review'!$K$7:$K$56,"&lt;&gt;")=1,IFERROR(INDEX('Challenge Review'!$K$7:$K$56,MATCH($A52,'Challenge Review'!$A$7:$A$56,0)),""),"")</f>
        <v>Unchecked</v>
      </c>
      <c r="H52" s="14">
        <f>IF(AND(AG52=1,IFERROR(INDEX('Review &amp; Decision'!$B$7:$B$56,MATCH($A52,'Review &amp; Decision'!$A$7:$A$56,0)),"")="Evidence-backed",OR(IFERROR(INDEX('Review &amp; Decision'!$C$7:$C$56,MATCH($A52,'Review &amp; Decision'!$A$7:$A$56,0)),"")="Equivalent or better",AND(IFERROR(INDEX('Review &amp; Decision'!$C$7:$C$56,MATCH($A52,'Review &amp; Decision'!$A$7:$A$56,0)),"")="Accepted reduction",COUNTIFS('Review &amp; Decision'!$A$7:$A$56,$A52,'Review &amp; Decision'!$L$7:$L$56,"&lt;&gt;")=1)),COUNTIFS('Review &amp; Decision'!$A$7:$A$56,$A52,'Review &amp; Decision'!$D$7:$D$56,"&lt;&gt;")=1,COUNTIFS('Review &amp; Decision'!$A$7:$A$56,$A52,'Review &amp; Decision'!$F$7:$F$56,"&lt;&gt;")=1,OR(IFERROR(INDEX('Review &amp; Decision'!$E$7:$E$56,MATCH($A52,'Review &amp; Decision'!$A$7:$A$56,0)),"")="Approved",IFERROR(INDEX('Review &amp; Decision'!$E$7:$E$56,MATCH($A52,'Review &amp; Decision'!$A$7:$A$56,0)),"")="Implemented"),ISNUMBER(IFERROR(INDEX('Review &amp; Decision'!$G$7:$G$56,MATCH($A52,'Review &amp; Decision'!$A$7:$A$56,0)),"")),IFERROR(INDEX('Review &amp; Decision'!$G$7:$G$56,MATCH($A52,'Review &amp; Decision'!$A$7:$A$56,0)),"")&gt;0,IFERROR(INDEX('Review &amp; Decision'!$G$7:$G$56,MATCH($A52,'Review &amp; Decision'!$A$7:$A$56,0)),"")&lt;=Settings!$B$7,ISNUMBER(IFERROR(INDEX('Review &amp; Decision'!$I$7:$I$56,MATCH($A52,'Review &amp; Decision'!$A$7:$A$56,0)),"")),IFERROR(INDEX('Review &amp; Decision'!$I$7:$I$56,MATCH($A52,'Review &amp; Decision'!$A$7:$A$56,0)),"")&gt;0,IFERROR(INDEX('Review &amp; Decision'!$I$7:$I$56,MATCH($A52,'Review &amp; Decision'!$A$7:$A$56,0)),"")&lt;=Settings!$B$7,IFERROR(INDEX('Review &amp; Decision'!$I$7:$I$56,MATCH($A52,'Review &amp; Decision'!$A$7:$A$56,0)),"")&gt;=IFERROR(INDEX('Review &amp; Decision'!$G$7:$G$56,MATCH($A52,'Review &amp; Decision'!$A$7:$A$56,0)),""),COUNTIFS('Review &amp; Decision'!$A$7:$A$56,$A52,'Review &amp; Decision'!$J$7:$J$56,"&lt;&gt;")=1,COUNTIFS('Review &amp; Decision'!$A$7:$A$56,$A52,'Review &amp; Decision'!$K$7:$K$56,"&lt;&gt;")=1,ISNUMBER(IFERROR(INDEX('Review &amp; Decision'!$J$7:$J$56,MATCH($A52,'Review &amp; Decision'!$A$7:$A$56,0)),"")),IFERROR(INDEX('Review &amp; Decision'!$J$7:$J$56,MATCH($A52,'Review &amp; Decision'!$A$7:$A$56,0)),"")&gt;=0,IFERROR(INDEX('Review &amp; Decision'!$J$7:$J$56,MATCH($A52,'Review &amp; Decision'!$A$7:$A$56,0)),"")&lt;=1,ISNUMBER(IFERROR(INDEX('Review &amp; Decision'!$K$7:$K$56,MATCH($A52,'Review &amp; Decision'!$A$7:$A$56,0)),"")),IFERROR(INDEX('Review &amp; Decision'!$K$7:$K$56,MATCH($A52,'Review &amp; Decision'!$A$7:$A$56,0)),"")&gt;=0,IFERROR(INDEX('Review &amp; Decision'!$K$7:$K$56,MATCH($A52,'Review &amp; Decision'!$A$7:$A$56,0)),"")&lt;=1,ISNUMBER(Settings!$B$7),Settings!$B$7&gt;0,OR(Settings!$B$8="Approved + measured",Settings!$B$8="Measured only"),LEN(TRIM(IF(COUNTIFS('Review &amp; Decision'!$A$7:$A$56,$A52,'Review &amp; Decision'!$D$7:$D$56,"&lt;&gt;")=1,IFERROR(INDEX('Review &amp; Decision'!$D$7:$D$56,MATCH($A52,'Review &amp; Decision'!$A$7:$A$56,0)),""),"")))&gt;0,LEN(TRIM(IF(COUNTIFS('Review &amp; Decision'!$A$7:$A$56,$A52,'Review &amp; Decision'!$F$7:$F$56,"&lt;&gt;")=1,IFERROR(INDEX('Review &amp; Decision'!$F$7:$F$56,MATCH($A52,'Review &amp; Decision'!$A$7:$A$56,0)),""),"")))&gt;0,OR(IFERROR(INDEX('Review &amp; Decision'!$C$7:$C$56,MATCH($A52,'Review &amp; Decision'!$A$7:$A$56,0)),"")&lt;&gt;"Accepted reduction",LEN(TRIM(IF(COUNTIFS('Review &amp; Decision'!$A$7:$A$56,$A52,'Review &amp; Decision'!$L$7:$L$56,"&lt;&gt;")=1,IFERROR(INDEX('Review &amp; Decision'!$L$7:$L$56,MATCH($A52,'Review &amp; Decision'!$A$7:$A$56,0)),""),"")))&gt;0)),1,0)</f>
        <v>0</v>
      </c>
      <c r="I52" s="14">
        <f>IF(AND(AG52=1,IFERROR(INDEX(Actuals!$M$7:$M$56,MATCH($A52,Actuals!$A$7:$A$56,0)),"")="Ready",IFERROR(INDEX(Actuals!$D$7:$D$56,MATCH($A52,Actuals!$A$7:$A$56,0)),"")&gt;=IFERROR(INDEX('Review &amp; Decision'!$I$7:$I$56,MATCH($A52,'Review &amp; Decision'!$A$7:$A$56,0)),"")),1,0)</f>
        <v>0</v>
      </c>
      <c r="J52" s="14" t="str">
        <f t="shared" si="12"/>
        <v>Unused slot</v>
      </c>
      <c r="K52" s="14">
        <f t="shared" si="13"/>
        <v>0</v>
      </c>
      <c r="L52" s="14">
        <f t="shared" si="14"/>
        <v>0</v>
      </c>
      <c r="M52" s="14">
        <f>IF(OR(L52=1,AND(K52=1,Settings!$B$8="Approved + measured")),1,0)</f>
        <v>0</v>
      </c>
      <c r="N52" s="14" t="str">
        <f>IF(E52=1,IFERROR(INDEX(Current!$H$7:$H$56,MATCH($A52,Current!$A$7:$A$56,0)),""),"")</f>
        <v/>
      </c>
      <c r="O52" s="14" t="str">
        <f>IF(F52=1,IFERROR(INDEX(Proposed!$I$7:$I$56,MATCH($A52,Proposed!$A$7:$A$56,0)),""),"")</f>
        <v/>
      </c>
      <c r="P52" s="14" t="str">
        <f t="shared" si="15"/>
        <v/>
      </c>
      <c r="Q52" s="14" t="str">
        <f>IF(E52=1,IFERROR(INDEX(Current!$I$7:$I$56,MATCH($A52,Current!$A$7:$A$56,0)),""),"")</f>
        <v/>
      </c>
      <c r="R52" s="14" t="str">
        <f>IF(F52=1,IFERROR(INDEX(Proposed!$J$7:$J$56,MATCH($A52,Proposed!$A$7:$A$56,0)),""),"")</f>
        <v/>
      </c>
      <c r="S52" s="14" t="str">
        <f t="shared" si="16"/>
        <v/>
      </c>
      <c r="T52" s="14" t="str">
        <f>IF(E52=1,IFERROR(INDEX(Current!$E$7:$E$56,MATCH($A52,Current!$A$7:$A$56,0)),""),"")</f>
        <v/>
      </c>
      <c r="U52" s="14" t="str">
        <f>IF(F52=1,IFERROR(INDEX(Proposed!$E$7:$E$56,MATCH($A52,Proposed!$A$7:$A$56,0)),""),"")</f>
        <v/>
      </c>
      <c r="V52" s="14" t="str">
        <f t="shared" si="17"/>
        <v/>
      </c>
      <c r="W52" s="14" t="str">
        <f>IF(E52=1,IFERROR(INDEX(Current!$K$7:$K$56,MATCH($A52,Current!$A$7:$A$56,0)),""),"")</f>
        <v/>
      </c>
      <c r="X52" s="14" t="str">
        <f>IF(F52=1,IFERROR(INDEX(Proposed!$L$7:$L$56,MATCH($A52,Proposed!$A$7:$A$56,0)),""),"")</f>
        <v/>
      </c>
      <c r="Y52" s="14" t="str">
        <f t="shared" si="18"/>
        <v/>
      </c>
      <c r="Z52" s="14" t="str">
        <f>IF(F52=1,IFERROR(INDEX(Proposed!$F$7:$F$56,MATCH($A52,Proposed!$A$7:$A$56,0)),""),"")</f>
        <v/>
      </c>
      <c r="AA52" s="14">
        <f>IF(M52=1,IF(IF(L52=1,AL52,P52)&gt;0,IF(L52=1,AL52,P52)*IFERROR(INDEX('Review &amp; Decision'!$J$7:$J$56,MATCH($A52,'Review &amp; Decision'!$A$7:$A$56,0)),""),IF(L52=1,AL52,P52)),0)</f>
        <v>0</v>
      </c>
      <c r="AB52" s="14">
        <f>IF(M52=1,IF(IF(L52=1,AM52,S52)&gt;0,IF(L52=1,AM52,S52)*IFERROR(INDEX('Review &amp; Decision'!$K$7:$K$56,MATCH($A52,'Review &amp; Decision'!$A$7:$A$56,0)),""),IF(L52=1,AM52,S52)),0)</f>
        <v>0</v>
      </c>
      <c r="AC52" s="14">
        <f t="shared" si="19"/>
        <v>0</v>
      </c>
      <c r="AD52" s="14">
        <f t="shared" si="20"/>
        <v>0</v>
      </c>
      <c r="AE52" s="14">
        <f t="shared" si="21"/>
        <v>0</v>
      </c>
      <c r="AF52" s="14" t="str">
        <f t="shared" si="22"/>
        <v>No measurement warning</v>
      </c>
      <c r="AG52" s="14">
        <f>IF(AND(COUNTIF(Cases!$A$7:$A$56,$A52)=1,COUNTIF(Current!$A$7:$A$56,$A52)=1,COUNTIF(Proposed!$A$7:$A$56,$A52)=1,COUNTIF('Review &amp; Decision'!$A$7:$A$56,$A52)=1,COUNTIF('Challenge Review'!$A$7:$A$56,$A52)=1,COUNTIF(Actuals!$A$7:$A$56,$A52)=1,COUNTIF(Classification!$A$7:$A$56,$A52)=1),1,0)</f>
        <v>1</v>
      </c>
      <c r="AH52" s="14">
        <f t="shared" si="23"/>
        <v>0</v>
      </c>
      <c r="AI52" s="14" t="str">
        <f>IF(COUNTIFS('Review &amp; Decision'!$A$7:$A$56,$A52,'Review &amp; Decision'!$H$7:$H$56,"&lt;&gt;")=1,IFERROR(INDEX('Review &amp; Decision'!$H$7:$H$56,MATCH($A52,'Review &amp; Decision'!$A$7:$A$56,0)),""),"")</f>
        <v/>
      </c>
      <c r="AJ52" s="14" t="str">
        <f>IF(COUNTIFS('Review &amp; Decision'!$A$7:$A$56,$A52,'Review &amp; Decision'!$E$7:$E$56,"&lt;&gt;")=1,IFERROR(INDEX('Review &amp; Decision'!$E$7:$E$56,MATCH($A52,'Review &amp; Decision'!$A$7:$A$56,0)),""),"")</f>
        <v/>
      </c>
      <c r="AK52" s="14" t="str">
        <f>IF(COUNTIFS('Review &amp; Decision'!$A$7:$A$56,$A52,'Review &amp; Decision'!$B$7:$B$56,"&lt;&gt;")=1,IFERROR(INDEX('Review &amp; Decision'!$B$7:$B$56,MATCH($A52,'Review &amp; Decision'!$A$7:$A$56,0)),""),"")</f>
        <v/>
      </c>
      <c r="AL52" s="14" t="str">
        <f>IF(I52=1,IFERROR(INDEX(Actuals!$E$7:$E$56,MATCH($A52,Actuals!$A$7:$A$56,0)),""),"")</f>
        <v/>
      </c>
      <c r="AM52" s="14" t="str">
        <f>IF(I52=1,IFERROR(INDEX(Actuals!$F$7:$F$56,MATCH($A52,Actuals!$A$7:$A$56,0)),""),"")</f>
        <v/>
      </c>
      <c r="AN52" s="14" t="str">
        <f>IF(I52=1,IFERROR(INDEX(Actuals!$G$7:$G$56,MATCH($A52,Actuals!$A$7:$A$56,0)),""),"")</f>
        <v/>
      </c>
      <c r="AO52" s="14" t="str">
        <f>IF(I52=1,IFERROR(INDEX(Actuals!$G$7:$G$56,MATCH($A52,Actuals!$A$7:$A$56,0)),"")+IFERROR(INDEX(Actuals!$H$7:$H$56,MATCH($A52,Actuals!$A$7:$A$56,0)),""),"")</f>
        <v/>
      </c>
      <c r="AP52" s="14" t="str">
        <f>IF(COUNTIFS(Cases!$A$7:$A$56,$A52,Cases!$G$7:$G$56,"&lt;&gt;")=1,IFERROR(INDEX(Cases!$G$7:$G$56,MATCH($A52,Cases!$A$7:$A$56,0)),""),"")</f>
        <v/>
      </c>
    </row>
    <row r="53" spans="1:42" ht="43.9" customHeight="1">
      <c r="A53" s="14" t="s">
        <v>144</v>
      </c>
      <c r="B53" s="14" t="str">
        <f>IF(COUNTIFS(Cases!$A$7:$A$56,$A53,Cases!$B$7:$B$56,"&lt;&gt;")=1,IFERROR(INDEX(Cases!$B$7:$B$56,MATCH($A53,Cases!$A$7:$A$56,0)),""),"")</f>
        <v>Inactive</v>
      </c>
      <c r="C53" s="14" t="str">
        <f>IF(COUNTIFS(Cases!$A$7:$A$56,$A53,Cases!$C$7:$C$56,"&lt;&gt;")=1,IFERROR(INDEX(Cases!$C$7:$C$56,MATCH($A53,Cases!$A$7:$A$56,0)),""),"")</f>
        <v/>
      </c>
      <c r="D53" s="14">
        <f>IF(AND(AG53=1,OR(B53="Example",B53="Live"),OR(AP53="Simplify",AP53="Replace",AP53="Reduce scope",AP53="Retire",AP53="Retain"),COUNTIFS(Cases!$A$7:$A$56,$A53,Cases!$C$7:$C$56,"&lt;&gt;")=1,COUNTIFS(Cases!$A$7:$A$56,$A53,Cases!$D$7:$D$56,"&lt;&gt;")=1,COUNTIFS(Cases!$A$7:$A$56,$A53,Cases!$E$7:$E$56,"&lt;&gt;")=1,COUNTIFS(Cases!$A$7:$A$56,$A53,Cases!$F$7:$F$56,"&lt;&gt;")=1,COUNTIFS(Cases!$A$7:$A$56,$A53,Cases!$H$7:$H$56,"&lt;&gt;")=1,COUNTIFS(Cases!$A$7:$A$56,$A53,Cases!$I$7:$I$56,"&lt;&gt;")=1,LEN(TRIM(IF(COUNTIFS(Cases!$A$7:$A$56,$A53,Cases!$C$7:$C$56,"&lt;&gt;")=1,IFERROR(INDEX(Cases!$C$7:$C$56,MATCH($A53,Cases!$A$7:$A$56,0)),""),"")))&gt;0,LEN(TRIM(IF(COUNTIFS(Cases!$A$7:$A$56,$A53,Cases!$D$7:$D$56,"&lt;&gt;")=1,IFERROR(INDEX(Cases!$D$7:$D$56,MATCH($A53,Cases!$A$7:$A$56,0)),""),"")))&gt;0,LEN(TRIM(IF(COUNTIFS(Cases!$A$7:$A$56,$A53,Cases!$E$7:$E$56,"&lt;&gt;")=1,IFERROR(INDEX(Cases!$E$7:$E$56,MATCH($A53,Cases!$A$7:$A$56,0)),""),"")))&gt;0,LEN(TRIM(IF(COUNTIFS(Cases!$A$7:$A$56,$A53,Cases!$F$7:$F$56,"&lt;&gt;")=1,IFERROR(INDEX(Cases!$F$7:$F$56,MATCH($A53,Cases!$A$7:$A$56,0)),""),"")))&gt;0,LEN(TRIM(IF(COUNTIFS(Cases!$A$7:$A$56,$A53,Cases!$H$7:$H$56,"&lt;&gt;")=1,IFERROR(INDEX(Cases!$H$7:$H$56,MATCH($A53,Cases!$A$7:$A$56,0)),""),"")))&gt;0,LEN(TRIM(IF(COUNTIFS(Cases!$A$7:$A$56,$A53,Cases!$I$7:$I$56,"&lt;&gt;")=1,IFERROR(INDEX(Cases!$I$7:$I$56,MATCH($A53,Cases!$A$7:$A$56,0)),""),"")))&gt;0),1,0)</f>
        <v>0</v>
      </c>
      <c r="E53" s="14">
        <f>IF(AND(AG53=1,IFERROR(INDEX(Current!$G$7:$G$56,MATCH($A53,Current!$A$7:$A$56,0)),"")="Ready"),1,0)</f>
        <v>0</v>
      </c>
      <c r="F53" s="14">
        <f>IF(AND(AG53=1,IFERROR(INDEX(Proposed!$H$7:$H$56,MATCH($A53,Proposed!$A$7:$A$56,0)),"")="Ready",OR(AP53&lt;&gt;"Retain",AND(IFERROR(INDEX(Current!$B$7:$B$56,MATCH($A53,Current!$A$7:$A$56,0)),"")=IFERROR(INDEX(Proposed!$B$7:$B$56,MATCH($A53,Proposed!$A$7:$A$56,0)),""),IFERROR(INDEX(Current!$C$7:$C$56,MATCH($A53,Current!$A$7:$A$56,0)),"")=IFERROR(INDEX(Proposed!$C$7:$C$56,MATCH($A53,Proposed!$A$7:$A$56,0)),""),IFERROR(INDEX(Current!$D$7:$D$56,MATCH($A53,Current!$A$7:$A$56,0)),"")=IFERROR(INDEX(Proposed!$D$7:$D$56,MATCH($A53,Proposed!$A$7:$A$56,0)),""),IFERROR(INDEX(Current!$E$7:$E$56,MATCH($A53,Current!$A$7:$A$56,0)),"")=IFERROR(INDEX(Proposed!$E$7:$E$56,MATCH($A53,Proposed!$A$7:$A$56,0)),"")))),1,0)</f>
        <v>0</v>
      </c>
      <c r="G53" s="14" t="str">
        <f>IF(COUNTIFS('Challenge Review'!$A$7:$A$56,$A53,'Challenge Review'!$K$7:$K$56,"&lt;&gt;")=1,IFERROR(INDEX('Challenge Review'!$K$7:$K$56,MATCH($A53,'Challenge Review'!$A$7:$A$56,0)),""),"")</f>
        <v>Unchecked</v>
      </c>
      <c r="H53" s="14">
        <f>IF(AND(AG53=1,IFERROR(INDEX('Review &amp; Decision'!$B$7:$B$56,MATCH($A53,'Review &amp; Decision'!$A$7:$A$56,0)),"")="Evidence-backed",OR(IFERROR(INDEX('Review &amp; Decision'!$C$7:$C$56,MATCH($A53,'Review &amp; Decision'!$A$7:$A$56,0)),"")="Equivalent or better",AND(IFERROR(INDEX('Review &amp; Decision'!$C$7:$C$56,MATCH($A53,'Review &amp; Decision'!$A$7:$A$56,0)),"")="Accepted reduction",COUNTIFS('Review &amp; Decision'!$A$7:$A$56,$A53,'Review &amp; Decision'!$L$7:$L$56,"&lt;&gt;")=1)),COUNTIFS('Review &amp; Decision'!$A$7:$A$56,$A53,'Review &amp; Decision'!$D$7:$D$56,"&lt;&gt;")=1,COUNTIFS('Review &amp; Decision'!$A$7:$A$56,$A53,'Review &amp; Decision'!$F$7:$F$56,"&lt;&gt;")=1,OR(IFERROR(INDEX('Review &amp; Decision'!$E$7:$E$56,MATCH($A53,'Review &amp; Decision'!$A$7:$A$56,0)),"")="Approved",IFERROR(INDEX('Review &amp; Decision'!$E$7:$E$56,MATCH($A53,'Review &amp; Decision'!$A$7:$A$56,0)),"")="Implemented"),ISNUMBER(IFERROR(INDEX('Review &amp; Decision'!$G$7:$G$56,MATCH($A53,'Review &amp; Decision'!$A$7:$A$56,0)),"")),IFERROR(INDEX('Review &amp; Decision'!$G$7:$G$56,MATCH($A53,'Review &amp; Decision'!$A$7:$A$56,0)),"")&gt;0,IFERROR(INDEX('Review &amp; Decision'!$G$7:$G$56,MATCH($A53,'Review &amp; Decision'!$A$7:$A$56,0)),"")&lt;=Settings!$B$7,ISNUMBER(IFERROR(INDEX('Review &amp; Decision'!$I$7:$I$56,MATCH($A53,'Review &amp; Decision'!$A$7:$A$56,0)),"")),IFERROR(INDEX('Review &amp; Decision'!$I$7:$I$56,MATCH($A53,'Review &amp; Decision'!$A$7:$A$56,0)),"")&gt;0,IFERROR(INDEX('Review &amp; Decision'!$I$7:$I$56,MATCH($A53,'Review &amp; Decision'!$A$7:$A$56,0)),"")&lt;=Settings!$B$7,IFERROR(INDEX('Review &amp; Decision'!$I$7:$I$56,MATCH($A53,'Review &amp; Decision'!$A$7:$A$56,0)),"")&gt;=IFERROR(INDEX('Review &amp; Decision'!$G$7:$G$56,MATCH($A53,'Review &amp; Decision'!$A$7:$A$56,0)),""),COUNTIFS('Review &amp; Decision'!$A$7:$A$56,$A53,'Review &amp; Decision'!$J$7:$J$56,"&lt;&gt;")=1,COUNTIFS('Review &amp; Decision'!$A$7:$A$56,$A53,'Review &amp; Decision'!$K$7:$K$56,"&lt;&gt;")=1,ISNUMBER(IFERROR(INDEX('Review &amp; Decision'!$J$7:$J$56,MATCH($A53,'Review &amp; Decision'!$A$7:$A$56,0)),"")),IFERROR(INDEX('Review &amp; Decision'!$J$7:$J$56,MATCH($A53,'Review &amp; Decision'!$A$7:$A$56,0)),"")&gt;=0,IFERROR(INDEX('Review &amp; Decision'!$J$7:$J$56,MATCH($A53,'Review &amp; Decision'!$A$7:$A$56,0)),"")&lt;=1,ISNUMBER(IFERROR(INDEX('Review &amp; Decision'!$K$7:$K$56,MATCH($A53,'Review &amp; Decision'!$A$7:$A$56,0)),"")),IFERROR(INDEX('Review &amp; Decision'!$K$7:$K$56,MATCH($A53,'Review &amp; Decision'!$A$7:$A$56,0)),"")&gt;=0,IFERROR(INDEX('Review &amp; Decision'!$K$7:$K$56,MATCH($A53,'Review &amp; Decision'!$A$7:$A$56,0)),"")&lt;=1,ISNUMBER(Settings!$B$7),Settings!$B$7&gt;0,OR(Settings!$B$8="Approved + measured",Settings!$B$8="Measured only"),LEN(TRIM(IF(COUNTIFS('Review &amp; Decision'!$A$7:$A$56,$A53,'Review &amp; Decision'!$D$7:$D$56,"&lt;&gt;")=1,IFERROR(INDEX('Review &amp; Decision'!$D$7:$D$56,MATCH($A53,'Review &amp; Decision'!$A$7:$A$56,0)),""),"")))&gt;0,LEN(TRIM(IF(COUNTIFS('Review &amp; Decision'!$A$7:$A$56,$A53,'Review &amp; Decision'!$F$7:$F$56,"&lt;&gt;")=1,IFERROR(INDEX('Review &amp; Decision'!$F$7:$F$56,MATCH($A53,'Review &amp; Decision'!$A$7:$A$56,0)),""),"")))&gt;0,OR(IFERROR(INDEX('Review &amp; Decision'!$C$7:$C$56,MATCH($A53,'Review &amp; Decision'!$A$7:$A$56,0)),"")&lt;&gt;"Accepted reduction",LEN(TRIM(IF(COUNTIFS('Review &amp; Decision'!$A$7:$A$56,$A53,'Review &amp; Decision'!$L$7:$L$56,"&lt;&gt;")=1,IFERROR(INDEX('Review &amp; Decision'!$L$7:$L$56,MATCH($A53,'Review &amp; Decision'!$A$7:$A$56,0)),""),"")))&gt;0)),1,0)</f>
        <v>0</v>
      </c>
      <c r="I53" s="14">
        <f>IF(AND(AG53=1,IFERROR(INDEX(Actuals!$M$7:$M$56,MATCH($A53,Actuals!$A$7:$A$56,0)),"")="Ready",IFERROR(INDEX(Actuals!$D$7:$D$56,MATCH($A53,Actuals!$A$7:$A$56,0)),"")&gt;=IFERROR(INDEX('Review &amp; Decision'!$I$7:$I$56,MATCH($A53,'Review &amp; Decision'!$A$7:$A$56,0)),"")),1,0)</f>
        <v>0</v>
      </c>
      <c r="J53" s="14" t="str">
        <f t="shared" si="12"/>
        <v>Unused slot</v>
      </c>
      <c r="K53" s="14">
        <f t="shared" si="13"/>
        <v>0</v>
      </c>
      <c r="L53" s="14">
        <f t="shared" si="14"/>
        <v>0</v>
      </c>
      <c r="M53" s="14">
        <f>IF(OR(L53=1,AND(K53=1,Settings!$B$8="Approved + measured")),1,0)</f>
        <v>0</v>
      </c>
      <c r="N53" s="14" t="str">
        <f>IF(E53=1,IFERROR(INDEX(Current!$H$7:$H$56,MATCH($A53,Current!$A$7:$A$56,0)),""),"")</f>
        <v/>
      </c>
      <c r="O53" s="14" t="str">
        <f>IF(F53=1,IFERROR(INDEX(Proposed!$I$7:$I$56,MATCH($A53,Proposed!$A$7:$A$56,0)),""),"")</f>
        <v/>
      </c>
      <c r="P53" s="14" t="str">
        <f t="shared" si="15"/>
        <v/>
      </c>
      <c r="Q53" s="14" t="str">
        <f>IF(E53=1,IFERROR(INDEX(Current!$I$7:$I$56,MATCH($A53,Current!$A$7:$A$56,0)),""),"")</f>
        <v/>
      </c>
      <c r="R53" s="14" t="str">
        <f>IF(F53=1,IFERROR(INDEX(Proposed!$J$7:$J$56,MATCH($A53,Proposed!$A$7:$A$56,0)),""),"")</f>
        <v/>
      </c>
      <c r="S53" s="14" t="str">
        <f t="shared" si="16"/>
        <v/>
      </c>
      <c r="T53" s="14" t="str">
        <f>IF(E53=1,IFERROR(INDEX(Current!$E$7:$E$56,MATCH($A53,Current!$A$7:$A$56,0)),""),"")</f>
        <v/>
      </c>
      <c r="U53" s="14" t="str">
        <f>IF(F53=1,IFERROR(INDEX(Proposed!$E$7:$E$56,MATCH($A53,Proposed!$A$7:$A$56,0)),""),"")</f>
        <v/>
      </c>
      <c r="V53" s="14" t="str">
        <f t="shared" si="17"/>
        <v/>
      </c>
      <c r="W53" s="14" t="str">
        <f>IF(E53=1,IFERROR(INDEX(Current!$K$7:$K$56,MATCH($A53,Current!$A$7:$A$56,0)),""),"")</f>
        <v/>
      </c>
      <c r="X53" s="14" t="str">
        <f>IF(F53=1,IFERROR(INDEX(Proposed!$L$7:$L$56,MATCH($A53,Proposed!$A$7:$A$56,0)),""),"")</f>
        <v/>
      </c>
      <c r="Y53" s="14" t="str">
        <f t="shared" si="18"/>
        <v/>
      </c>
      <c r="Z53" s="14" t="str">
        <f>IF(F53=1,IFERROR(INDEX(Proposed!$F$7:$F$56,MATCH($A53,Proposed!$A$7:$A$56,0)),""),"")</f>
        <v/>
      </c>
      <c r="AA53" s="14">
        <f>IF(M53=1,IF(IF(L53=1,AL53,P53)&gt;0,IF(L53=1,AL53,P53)*IFERROR(INDEX('Review &amp; Decision'!$J$7:$J$56,MATCH($A53,'Review &amp; Decision'!$A$7:$A$56,0)),""),IF(L53=1,AL53,P53)),0)</f>
        <v>0</v>
      </c>
      <c r="AB53" s="14">
        <f>IF(M53=1,IF(IF(L53=1,AM53,S53)&gt;0,IF(L53=1,AM53,S53)*IFERROR(INDEX('Review &amp; Decision'!$K$7:$K$56,MATCH($A53,'Review &amp; Decision'!$A$7:$A$56,0)),""),IF(L53=1,AM53,S53)),0)</f>
        <v>0</v>
      </c>
      <c r="AC53" s="14">
        <f t="shared" si="19"/>
        <v>0</v>
      </c>
      <c r="AD53" s="14">
        <f t="shared" si="20"/>
        <v>0</v>
      </c>
      <c r="AE53" s="14">
        <f t="shared" si="21"/>
        <v>0</v>
      </c>
      <c r="AF53" s="14" t="str">
        <f t="shared" si="22"/>
        <v>No measurement warning</v>
      </c>
      <c r="AG53" s="14">
        <f>IF(AND(COUNTIF(Cases!$A$7:$A$56,$A53)=1,COUNTIF(Current!$A$7:$A$56,$A53)=1,COUNTIF(Proposed!$A$7:$A$56,$A53)=1,COUNTIF('Review &amp; Decision'!$A$7:$A$56,$A53)=1,COUNTIF('Challenge Review'!$A$7:$A$56,$A53)=1,COUNTIF(Actuals!$A$7:$A$56,$A53)=1,COUNTIF(Classification!$A$7:$A$56,$A53)=1),1,0)</f>
        <v>1</v>
      </c>
      <c r="AH53" s="14">
        <f t="shared" si="23"/>
        <v>0</v>
      </c>
      <c r="AI53" s="14" t="str">
        <f>IF(COUNTIFS('Review &amp; Decision'!$A$7:$A$56,$A53,'Review &amp; Decision'!$H$7:$H$56,"&lt;&gt;")=1,IFERROR(INDEX('Review &amp; Decision'!$H$7:$H$56,MATCH($A53,'Review &amp; Decision'!$A$7:$A$56,0)),""),"")</f>
        <v/>
      </c>
      <c r="AJ53" s="14" t="str">
        <f>IF(COUNTIFS('Review &amp; Decision'!$A$7:$A$56,$A53,'Review &amp; Decision'!$E$7:$E$56,"&lt;&gt;")=1,IFERROR(INDEX('Review &amp; Decision'!$E$7:$E$56,MATCH($A53,'Review &amp; Decision'!$A$7:$A$56,0)),""),"")</f>
        <v/>
      </c>
      <c r="AK53" s="14" t="str">
        <f>IF(COUNTIFS('Review &amp; Decision'!$A$7:$A$56,$A53,'Review &amp; Decision'!$B$7:$B$56,"&lt;&gt;")=1,IFERROR(INDEX('Review &amp; Decision'!$B$7:$B$56,MATCH($A53,'Review &amp; Decision'!$A$7:$A$56,0)),""),"")</f>
        <v/>
      </c>
      <c r="AL53" s="14" t="str">
        <f>IF(I53=1,IFERROR(INDEX(Actuals!$E$7:$E$56,MATCH($A53,Actuals!$A$7:$A$56,0)),""),"")</f>
        <v/>
      </c>
      <c r="AM53" s="14" t="str">
        <f>IF(I53=1,IFERROR(INDEX(Actuals!$F$7:$F$56,MATCH($A53,Actuals!$A$7:$A$56,0)),""),"")</f>
        <v/>
      </c>
      <c r="AN53" s="14" t="str">
        <f>IF(I53=1,IFERROR(INDEX(Actuals!$G$7:$G$56,MATCH($A53,Actuals!$A$7:$A$56,0)),""),"")</f>
        <v/>
      </c>
      <c r="AO53" s="14" t="str">
        <f>IF(I53=1,IFERROR(INDEX(Actuals!$G$7:$G$56,MATCH($A53,Actuals!$A$7:$A$56,0)),"")+IFERROR(INDEX(Actuals!$H$7:$H$56,MATCH($A53,Actuals!$A$7:$A$56,0)),""),"")</f>
        <v/>
      </c>
      <c r="AP53" s="14" t="str">
        <f>IF(COUNTIFS(Cases!$A$7:$A$56,$A53,Cases!$G$7:$G$56,"&lt;&gt;")=1,IFERROR(INDEX(Cases!$G$7:$G$56,MATCH($A53,Cases!$A$7:$A$56,0)),""),"")</f>
        <v/>
      </c>
    </row>
    <row r="54" spans="1:42" ht="43.9" customHeight="1">
      <c r="A54" s="14" t="s">
        <v>145</v>
      </c>
      <c r="B54" s="14" t="str">
        <f>IF(COUNTIFS(Cases!$A$7:$A$56,$A54,Cases!$B$7:$B$56,"&lt;&gt;")=1,IFERROR(INDEX(Cases!$B$7:$B$56,MATCH($A54,Cases!$A$7:$A$56,0)),""),"")</f>
        <v>Inactive</v>
      </c>
      <c r="C54" s="14" t="str">
        <f>IF(COUNTIFS(Cases!$A$7:$A$56,$A54,Cases!$C$7:$C$56,"&lt;&gt;")=1,IFERROR(INDEX(Cases!$C$7:$C$56,MATCH($A54,Cases!$A$7:$A$56,0)),""),"")</f>
        <v/>
      </c>
      <c r="D54" s="14">
        <f>IF(AND(AG54=1,OR(B54="Example",B54="Live"),OR(AP54="Simplify",AP54="Replace",AP54="Reduce scope",AP54="Retire",AP54="Retain"),COUNTIFS(Cases!$A$7:$A$56,$A54,Cases!$C$7:$C$56,"&lt;&gt;")=1,COUNTIFS(Cases!$A$7:$A$56,$A54,Cases!$D$7:$D$56,"&lt;&gt;")=1,COUNTIFS(Cases!$A$7:$A$56,$A54,Cases!$E$7:$E$56,"&lt;&gt;")=1,COUNTIFS(Cases!$A$7:$A$56,$A54,Cases!$F$7:$F$56,"&lt;&gt;")=1,COUNTIFS(Cases!$A$7:$A$56,$A54,Cases!$H$7:$H$56,"&lt;&gt;")=1,COUNTIFS(Cases!$A$7:$A$56,$A54,Cases!$I$7:$I$56,"&lt;&gt;")=1,LEN(TRIM(IF(COUNTIFS(Cases!$A$7:$A$56,$A54,Cases!$C$7:$C$56,"&lt;&gt;")=1,IFERROR(INDEX(Cases!$C$7:$C$56,MATCH($A54,Cases!$A$7:$A$56,0)),""),"")))&gt;0,LEN(TRIM(IF(COUNTIFS(Cases!$A$7:$A$56,$A54,Cases!$D$7:$D$56,"&lt;&gt;")=1,IFERROR(INDEX(Cases!$D$7:$D$56,MATCH($A54,Cases!$A$7:$A$56,0)),""),"")))&gt;0,LEN(TRIM(IF(COUNTIFS(Cases!$A$7:$A$56,$A54,Cases!$E$7:$E$56,"&lt;&gt;")=1,IFERROR(INDEX(Cases!$E$7:$E$56,MATCH($A54,Cases!$A$7:$A$56,0)),""),"")))&gt;0,LEN(TRIM(IF(COUNTIFS(Cases!$A$7:$A$56,$A54,Cases!$F$7:$F$56,"&lt;&gt;")=1,IFERROR(INDEX(Cases!$F$7:$F$56,MATCH($A54,Cases!$A$7:$A$56,0)),""),"")))&gt;0,LEN(TRIM(IF(COUNTIFS(Cases!$A$7:$A$56,$A54,Cases!$H$7:$H$56,"&lt;&gt;")=1,IFERROR(INDEX(Cases!$H$7:$H$56,MATCH($A54,Cases!$A$7:$A$56,0)),""),"")))&gt;0,LEN(TRIM(IF(COUNTIFS(Cases!$A$7:$A$56,$A54,Cases!$I$7:$I$56,"&lt;&gt;")=1,IFERROR(INDEX(Cases!$I$7:$I$56,MATCH($A54,Cases!$A$7:$A$56,0)),""),"")))&gt;0),1,0)</f>
        <v>0</v>
      </c>
      <c r="E54" s="14">
        <f>IF(AND(AG54=1,IFERROR(INDEX(Current!$G$7:$G$56,MATCH($A54,Current!$A$7:$A$56,0)),"")="Ready"),1,0)</f>
        <v>0</v>
      </c>
      <c r="F54" s="14">
        <f>IF(AND(AG54=1,IFERROR(INDEX(Proposed!$H$7:$H$56,MATCH($A54,Proposed!$A$7:$A$56,0)),"")="Ready",OR(AP54&lt;&gt;"Retain",AND(IFERROR(INDEX(Current!$B$7:$B$56,MATCH($A54,Current!$A$7:$A$56,0)),"")=IFERROR(INDEX(Proposed!$B$7:$B$56,MATCH($A54,Proposed!$A$7:$A$56,0)),""),IFERROR(INDEX(Current!$C$7:$C$56,MATCH($A54,Current!$A$7:$A$56,0)),"")=IFERROR(INDEX(Proposed!$C$7:$C$56,MATCH($A54,Proposed!$A$7:$A$56,0)),""),IFERROR(INDEX(Current!$D$7:$D$56,MATCH($A54,Current!$A$7:$A$56,0)),"")=IFERROR(INDEX(Proposed!$D$7:$D$56,MATCH($A54,Proposed!$A$7:$A$56,0)),""),IFERROR(INDEX(Current!$E$7:$E$56,MATCH($A54,Current!$A$7:$A$56,0)),"")=IFERROR(INDEX(Proposed!$E$7:$E$56,MATCH($A54,Proposed!$A$7:$A$56,0)),"")))),1,0)</f>
        <v>0</v>
      </c>
      <c r="G54" s="14" t="str">
        <f>IF(COUNTIFS('Challenge Review'!$A$7:$A$56,$A54,'Challenge Review'!$K$7:$K$56,"&lt;&gt;")=1,IFERROR(INDEX('Challenge Review'!$K$7:$K$56,MATCH($A54,'Challenge Review'!$A$7:$A$56,0)),""),"")</f>
        <v>Unchecked</v>
      </c>
      <c r="H54" s="14">
        <f>IF(AND(AG54=1,IFERROR(INDEX('Review &amp; Decision'!$B$7:$B$56,MATCH($A54,'Review &amp; Decision'!$A$7:$A$56,0)),"")="Evidence-backed",OR(IFERROR(INDEX('Review &amp; Decision'!$C$7:$C$56,MATCH($A54,'Review &amp; Decision'!$A$7:$A$56,0)),"")="Equivalent or better",AND(IFERROR(INDEX('Review &amp; Decision'!$C$7:$C$56,MATCH($A54,'Review &amp; Decision'!$A$7:$A$56,0)),"")="Accepted reduction",COUNTIFS('Review &amp; Decision'!$A$7:$A$56,$A54,'Review &amp; Decision'!$L$7:$L$56,"&lt;&gt;")=1)),COUNTIFS('Review &amp; Decision'!$A$7:$A$56,$A54,'Review &amp; Decision'!$D$7:$D$56,"&lt;&gt;")=1,COUNTIFS('Review &amp; Decision'!$A$7:$A$56,$A54,'Review &amp; Decision'!$F$7:$F$56,"&lt;&gt;")=1,OR(IFERROR(INDEX('Review &amp; Decision'!$E$7:$E$56,MATCH($A54,'Review &amp; Decision'!$A$7:$A$56,0)),"")="Approved",IFERROR(INDEX('Review &amp; Decision'!$E$7:$E$56,MATCH($A54,'Review &amp; Decision'!$A$7:$A$56,0)),"")="Implemented"),ISNUMBER(IFERROR(INDEX('Review &amp; Decision'!$G$7:$G$56,MATCH($A54,'Review &amp; Decision'!$A$7:$A$56,0)),"")),IFERROR(INDEX('Review &amp; Decision'!$G$7:$G$56,MATCH($A54,'Review &amp; Decision'!$A$7:$A$56,0)),"")&gt;0,IFERROR(INDEX('Review &amp; Decision'!$G$7:$G$56,MATCH($A54,'Review &amp; Decision'!$A$7:$A$56,0)),"")&lt;=Settings!$B$7,ISNUMBER(IFERROR(INDEX('Review &amp; Decision'!$I$7:$I$56,MATCH($A54,'Review &amp; Decision'!$A$7:$A$56,0)),"")),IFERROR(INDEX('Review &amp; Decision'!$I$7:$I$56,MATCH($A54,'Review &amp; Decision'!$A$7:$A$56,0)),"")&gt;0,IFERROR(INDEX('Review &amp; Decision'!$I$7:$I$56,MATCH($A54,'Review &amp; Decision'!$A$7:$A$56,0)),"")&lt;=Settings!$B$7,IFERROR(INDEX('Review &amp; Decision'!$I$7:$I$56,MATCH($A54,'Review &amp; Decision'!$A$7:$A$56,0)),"")&gt;=IFERROR(INDEX('Review &amp; Decision'!$G$7:$G$56,MATCH($A54,'Review &amp; Decision'!$A$7:$A$56,0)),""),COUNTIFS('Review &amp; Decision'!$A$7:$A$56,$A54,'Review &amp; Decision'!$J$7:$J$56,"&lt;&gt;")=1,COUNTIFS('Review &amp; Decision'!$A$7:$A$56,$A54,'Review &amp; Decision'!$K$7:$K$56,"&lt;&gt;")=1,ISNUMBER(IFERROR(INDEX('Review &amp; Decision'!$J$7:$J$56,MATCH($A54,'Review &amp; Decision'!$A$7:$A$56,0)),"")),IFERROR(INDEX('Review &amp; Decision'!$J$7:$J$56,MATCH($A54,'Review &amp; Decision'!$A$7:$A$56,0)),"")&gt;=0,IFERROR(INDEX('Review &amp; Decision'!$J$7:$J$56,MATCH($A54,'Review &amp; Decision'!$A$7:$A$56,0)),"")&lt;=1,ISNUMBER(IFERROR(INDEX('Review &amp; Decision'!$K$7:$K$56,MATCH($A54,'Review &amp; Decision'!$A$7:$A$56,0)),"")),IFERROR(INDEX('Review &amp; Decision'!$K$7:$K$56,MATCH($A54,'Review &amp; Decision'!$A$7:$A$56,0)),"")&gt;=0,IFERROR(INDEX('Review &amp; Decision'!$K$7:$K$56,MATCH($A54,'Review &amp; Decision'!$A$7:$A$56,0)),"")&lt;=1,ISNUMBER(Settings!$B$7),Settings!$B$7&gt;0,OR(Settings!$B$8="Approved + measured",Settings!$B$8="Measured only"),LEN(TRIM(IF(COUNTIFS('Review &amp; Decision'!$A$7:$A$56,$A54,'Review &amp; Decision'!$D$7:$D$56,"&lt;&gt;")=1,IFERROR(INDEX('Review &amp; Decision'!$D$7:$D$56,MATCH($A54,'Review &amp; Decision'!$A$7:$A$56,0)),""),"")))&gt;0,LEN(TRIM(IF(COUNTIFS('Review &amp; Decision'!$A$7:$A$56,$A54,'Review &amp; Decision'!$F$7:$F$56,"&lt;&gt;")=1,IFERROR(INDEX('Review &amp; Decision'!$F$7:$F$56,MATCH($A54,'Review &amp; Decision'!$A$7:$A$56,0)),""),"")))&gt;0,OR(IFERROR(INDEX('Review &amp; Decision'!$C$7:$C$56,MATCH($A54,'Review &amp; Decision'!$A$7:$A$56,0)),"")&lt;&gt;"Accepted reduction",LEN(TRIM(IF(COUNTIFS('Review &amp; Decision'!$A$7:$A$56,$A54,'Review &amp; Decision'!$L$7:$L$56,"&lt;&gt;")=1,IFERROR(INDEX('Review &amp; Decision'!$L$7:$L$56,MATCH($A54,'Review &amp; Decision'!$A$7:$A$56,0)),""),"")))&gt;0)),1,0)</f>
        <v>0</v>
      </c>
      <c r="I54" s="14">
        <f>IF(AND(AG54=1,IFERROR(INDEX(Actuals!$M$7:$M$56,MATCH($A54,Actuals!$A$7:$A$56,0)),"")="Ready",IFERROR(INDEX(Actuals!$D$7:$D$56,MATCH($A54,Actuals!$A$7:$A$56,0)),"")&gt;=IFERROR(INDEX('Review &amp; Decision'!$I$7:$I$56,MATCH($A54,'Review &amp; Decision'!$A$7:$A$56,0)),"")),1,0)</f>
        <v>0</v>
      </c>
      <c r="J54" s="14" t="str">
        <f t="shared" si="12"/>
        <v>Unused slot</v>
      </c>
      <c r="K54" s="14">
        <f t="shared" si="13"/>
        <v>0</v>
      </c>
      <c r="L54" s="14">
        <f t="shared" si="14"/>
        <v>0</v>
      </c>
      <c r="M54" s="14">
        <f>IF(OR(L54=1,AND(K54=1,Settings!$B$8="Approved + measured")),1,0)</f>
        <v>0</v>
      </c>
      <c r="N54" s="14" t="str">
        <f>IF(E54=1,IFERROR(INDEX(Current!$H$7:$H$56,MATCH($A54,Current!$A$7:$A$56,0)),""),"")</f>
        <v/>
      </c>
      <c r="O54" s="14" t="str">
        <f>IF(F54=1,IFERROR(INDEX(Proposed!$I$7:$I$56,MATCH($A54,Proposed!$A$7:$A$56,0)),""),"")</f>
        <v/>
      </c>
      <c r="P54" s="14" t="str">
        <f t="shared" si="15"/>
        <v/>
      </c>
      <c r="Q54" s="14" t="str">
        <f>IF(E54=1,IFERROR(INDEX(Current!$I$7:$I$56,MATCH($A54,Current!$A$7:$A$56,0)),""),"")</f>
        <v/>
      </c>
      <c r="R54" s="14" t="str">
        <f>IF(F54=1,IFERROR(INDEX(Proposed!$J$7:$J$56,MATCH($A54,Proposed!$A$7:$A$56,0)),""),"")</f>
        <v/>
      </c>
      <c r="S54" s="14" t="str">
        <f t="shared" si="16"/>
        <v/>
      </c>
      <c r="T54" s="14" t="str">
        <f>IF(E54=1,IFERROR(INDEX(Current!$E$7:$E$56,MATCH($A54,Current!$A$7:$A$56,0)),""),"")</f>
        <v/>
      </c>
      <c r="U54" s="14" t="str">
        <f>IF(F54=1,IFERROR(INDEX(Proposed!$E$7:$E$56,MATCH($A54,Proposed!$A$7:$A$56,0)),""),"")</f>
        <v/>
      </c>
      <c r="V54" s="14" t="str">
        <f t="shared" si="17"/>
        <v/>
      </c>
      <c r="W54" s="14" t="str">
        <f>IF(E54=1,IFERROR(INDEX(Current!$K$7:$K$56,MATCH($A54,Current!$A$7:$A$56,0)),""),"")</f>
        <v/>
      </c>
      <c r="X54" s="14" t="str">
        <f>IF(F54=1,IFERROR(INDEX(Proposed!$L$7:$L$56,MATCH($A54,Proposed!$A$7:$A$56,0)),""),"")</f>
        <v/>
      </c>
      <c r="Y54" s="14" t="str">
        <f t="shared" si="18"/>
        <v/>
      </c>
      <c r="Z54" s="14" t="str">
        <f>IF(F54=1,IFERROR(INDEX(Proposed!$F$7:$F$56,MATCH($A54,Proposed!$A$7:$A$56,0)),""),"")</f>
        <v/>
      </c>
      <c r="AA54" s="14">
        <f>IF(M54=1,IF(IF(L54=1,AL54,P54)&gt;0,IF(L54=1,AL54,P54)*IFERROR(INDEX('Review &amp; Decision'!$J$7:$J$56,MATCH($A54,'Review &amp; Decision'!$A$7:$A$56,0)),""),IF(L54=1,AL54,P54)),0)</f>
        <v>0</v>
      </c>
      <c r="AB54" s="14">
        <f>IF(M54=1,IF(IF(L54=1,AM54,S54)&gt;0,IF(L54=1,AM54,S54)*IFERROR(INDEX('Review &amp; Decision'!$K$7:$K$56,MATCH($A54,'Review &amp; Decision'!$A$7:$A$56,0)),""),IF(L54=1,AM54,S54)),0)</f>
        <v>0</v>
      </c>
      <c r="AC54" s="14">
        <f t="shared" si="19"/>
        <v>0</v>
      </c>
      <c r="AD54" s="14">
        <f t="shared" si="20"/>
        <v>0</v>
      </c>
      <c r="AE54" s="14">
        <f t="shared" si="21"/>
        <v>0</v>
      </c>
      <c r="AF54" s="14" t="str">
        <f t="shared" si="22"/>
        <v>No measurement warning</v>
      </c>
      <c r="AG54" s="14">
        <f>IF(AND(COUNTIF(Cases!$A$7:$A$56,$A54)=1,COUNTIF(Current!$A$7:$A$56,$A54)=1,COUNTIF(Proposed!$A$7:$A$56,$A54)=1,COUNTIF('Review &amp; Decision'!$A$7:$A$56,$A54)=1,COUNTIF('Challenge Review'!$A$7:$A$56,$A54)=1,COUNTIF(Actuals!$A$7:$A$56,$A54)=1,COUNTIF(Classification!$A$7:$A$56,$A54)=1),1,0)</f>
        <v>1</v>
      </c>
      <c r="AH54" s="14">
        <f t="shared" si="23"/>
        <v>0</v>
      </c>
      <c r="AI54" s="14" t="str">
        <f>IF(COUNTIFS('Review &amp; Decision'!$A$7:$A$56,$A54,'Review &amp; Decision'!$H$7:$H$56,"&lt;&gt;")=1,IFERROR(INDEX('Review &amp; Decision'!$H$7:$H$56,MATCH($A54,'Review &amp; Decision'!$A$7:$A$56,0)),""),"")</f>
        <v/>
      </c>
      <c r="AJ54" s="14" t="str">
        <f>IF(COUNTIFS('Review &amp; Decision'!$A$7:$A$56,$A54,'Review &amp; Decision'!$E$7:$E$56,"&lt;&gt;")=1,IFERROR(INDEX('Review &amp; Decision'!$E$7:$E$56,MATCH($A54,'Review &amp; Decision'!$A$7:$A$56,0)),""),"")</f>
        <v/>
      </c>
      <c r="AK54" s="14" t="str">
        <f>IF(COUNTIFS('Review &amp; Decision'!$A$7:$A$56,$A54,'Review &amp; Decision'!$B$7:$B$56,"&lt;&gt;")=1,IFERROR(INDEX('Review &amp; Decision'!$B$7:$B$56,MATCH($A54,'Review &amp; Decision'!$A$7:$A$56,0)),""),"")</f>
        <v/>
      </c>
      <c r="AL54" s="14" t="str">
        <f>IF(I54=1,IFERROR(INDEX(Actuals!$E$7:$E$56,MATCH($A54,Actuals!$A$7:$A$56,0)),""),"")</f>
        <v/>
      </c>
      <c r="AM54" s="14" t="str">
        <f>IF(I54=1,IFERROR(INDEX(Actuals!$F$7:$F$56,MATCH($A54,Actuals!$A$7:$A$56,0)),""),"")</f>
        <v/>
      </c>
      <c r="AN54" s="14" t="str">
        <f>IF(I54=1,IFERROR(INDEX(Actuals!$G$7:$G$56,MATCH($A54,Actuals!$A$7:$A$56,0)),""),"")</f>
        <v/>
      </c>
      <c r="AO54" s="14" t="str">
        <f>IF(I54=1,IFERROR(INDEX(Actuals!$G$7:$G$56,MATCH($A54,Actuals!$A$7:$A$56,0)),"")+IFERROR(INDEX(Actuals!$H$7:$H$56,MATCH($A54,Actuals!$A$7:$A$56,0)),""),"")</f>
        <v/>
      </c>
      <c r="AP54" s="14" t="str">
        <f>IF(COUNTIFS(Cases!$A$7:$A$56,$A54,Cases!$G$7:$G$56,"&lt;&gt;")=1,IFERROR(INDEX(Cases!$G$7:$G$56,MATCH($A54,Cases!$A$7:$A$56,0)),""),"")</f>
        <v/>
      </c>
    </row>
    <row r="55" spans="1:42" ht="43.9" customHeight="1">
      <c r="A55" s="14" t="s">
        <v>146</v>
      </c>
      <c r="B55" s="14" t="str">
        <f>IF(COUNTIFS(Cases!$A$7:$A$56,$A55,Cases!$B$7:$B$56,"&lt;&gt;")=1,IFERROR(INDEX(Cases!$B$7:$B$56,MATCH($A55,Cases!$A$7:$A$56,0)),""),"")</f>
        <v>Inactive</v>
      </c>
      <c r="C55" s="14" t="str">
        <f>IF(COUNTIFS(Cases!$A$7:$A$56,$A55,Cases!$C$7:$C$56,"&lt;&gt;")=1,IFERROR(INDEX(Cases!$C$7:$C$56,MATCH($A55,Cases!$A$7:$A$56,0)),""),"")</f>
        <v/>
      </c>
      <c r="D55" s="14">
        <f>IF(AND(AG55=1,OR(B55="Example",B55="Live"),OR(AP55="Simplify",AP55="Replace",AP55="Reduce scope",AP55="Retire",AP55="Retain"),COUNTIFS(Cases!$A$7:$A$56,$A55,Cases!$C$7:$C$56,"&lt;&gt;")=1,COUNTIFS(Cases!$A$7:$A$56,$A55,Cases!$D$7:$D$56,"&lt;&gt;")=1,COUNTIFS(Cases!$A$7:$A$56,$A55,Cases!$E$7:$E$56,"&lt;&gt;")=1,COUNTIFS(Cases!$A$7:$A$56,$A55,Cases!$F$7:$F$56,"&lt;&gt;")=1,COUNTIFS(Cases!$A$7:$A$56,$A55,Cases!$H$7:$H$56,"&lt;&gt;")=1,COUNTIFS(Cases!$A$7:$A$56,$A55,Cases!$I$7:$I$56,"&lt;&gt;")=1,LEN(TRIM(IF(COUNTIFS(Cases!$A$7:$A$56,$A55,Cases!$C$7:$C$56,"&lt;&gt;")=1,IFERROR(INDEX(Cases!$C$7:$C$56,MATCH($A55,Cases!$A$7:$A$56,0)),""),"")))&gt;0,LEN(TRIM(IF(COUNTIFS(Cases!$A$7:$A$56,$A55,Cases!$D$7:$D$56,"&lt;&gt;")=1,IFERROR(INDEX(Cases!$D$7:$D$56,MATCH($A55,Cases!$A$7:$A$56,0)),""),"")))&gt;0,LEN(TRIM(IF(COUNTIFS(Cases!$A$7:$A$56,$A55,Cases!$E$7:$E$56,"&lt;&gt;")=1,IFERROR(INDEX(Cases!$E$7:$E$56,MATCH($A55,Cases!$A$7:$A$56,0)),""),"")))&gt;0,LEN(TRIM(IF(COUNTIFS(Cases!$A$7:$A$56,$A55,Cases!$F$7:$F$56,"&lt;&gt;")=1,IFERROR(INDEX(Cases!$F$7:$F$56,MATCH($A55,Cases!$A$7:$A$56,0)),""),"")))&gt;0,LEN(TRIM(IF(COUNTIFS(Cases!$A$7:$A$56,$A55,Cases!$H$7:$H$56,"&lt;&gt;")=1,IFERROR(INDEX(Cases!$H$7:$H$56,MATCH($A55,Cases!$A$7:$A$56,0)),""),"")))&gt;0,LEN(TRIM(IF(COUNTIFS(Cases!$A$7:$A$56,$A55,Cases!$I$7:$I$56,"&lt;&gt;")=1,IFERROR(INDEX(Cases!$I$7:$I$56,MATCH($A55,Cases!$A$7:$A$56,0)),""),"")))&gt;0),1,0)</f>
        <v>0</v>
      </c>
      <c r="E55" s="14">
        <f>IF(AND(AG55=1,IFERROR(INDEX(Current!$G$7:$G$56,MATCH($A55,Current!$A$7:$A$56,0)),"")="Ready"),1,0)</f>
        <v>0</v>
      </c>
      <c r="F55" s="14">
        <f>IF(AND(AG55=1,IFERROR(INDEX(Proposed!$H$7:$H$56,MATCH($A55,Proposed!$A$7:$A$56,0)),"")="Ready",OR(AP55&lt;&gt;"Retain",AND(IFERROR(INDEX(Current!$B$7:$B$56,MATCH($A55,Current!$A$7:$A$56,0)),"")=IFERROR(INDEX(Proposed!$B$7:$B$56,MATCH($A55,Proposed!$A$7:$A$56,0)),""),IFERROR(INDEX(Current!$C$7:$C$56,MATCH($A55,Current!$A$7:$A$56,0)),"")=IFERROR(INDEX(Proposed!$C$7:$C$56,MATCH($A55,Proposed!$A$7:$A$56,0)),""),IFERROR(INDEX(Current!$D$7:$D$56,MATCH($A55,Current!$A$7:$A$56,0)),"")=IFERROR(INDEX(Proposed!$D$7:$D$56,MATCH($A55,Proposed!$A$7:$A$56,0)),""),IFERROR(INDEX(Current!$E$7:$E$56,MATCH($A55,Current!$A$7:$A$56,0)),"")=IFERROR(INDEX(Proposed!$E$7:$E$56,MATCH($A55,Proposed!$A$7:$A$56,0)),"")))),1,0)</f>
        <v>0</v>
      </c>
      <c r="G55" s="14" t="str">
        <f>IF(COUNTIFS('Challenge Review'!$A$7:$A$56,$A55,'Challenge Review'!$K$7:$K$56,"&lt;&gt;")=1,IFERROR(INDEX('Challenge Review'!$K$7:$K$56,MATCH($A55,'Challenge Review'!$A$7:$A$56,0)),""),"")</f>
        <v>Unchecked</v>
      </c>
      <c r="H55" s="14">
        <f>IF(AND(AG55=1,IFERROR(INDEX('Review &amp; Decision'!$B$7:$B$56,MATCH($A55,'Review &amp; Decision'!$A$7:$A$56,0)),"")="Evidence-backed",OR(IFERROR(INDEX('Review &amp; Decision'!$C$7:$C$56,MATCH($A55,'Review &amp; Decision'!$A$7:$A$56,0)),"")="Equivalent or better",AND(IFERROR(INDEX('Review &amp; Decision'!$C$7:$C$56,MATCH($A55,'Review &amp; Decision'!$A$7:$A$56,0)),"")="Accepted reduction",COUNTIFS('Review &amp; Decision'!$A$7:$A$56,$A55,'Review &amp; Decision'!$L$7:$L$56,"&lt;&gt;")=1)),COUNTIFS('Review &amp; Decision'!$A$7:$A$56,$A55,'Review &amp; Decision'!$D$7:$D$56,"&lt;&gt;")=1,COUNTIFS('Review &amp; Decision'!$A$7:$A$56,$A55,'Review &amp; Decision'!$F$7:$F$56,"&lt;&gt;")=1,OR(IFERROR(INDEX('Review &amp; Decision'!$E$7:$E$56,MATCH($A55,'Review &amp; Decision'!$A$7:$A$56,0)),"")="Approved",IFERROR(INDEX('Review &amp; Decision'!$E$7:$E$56,MATCH($A55,'Review &amp; Decision'!$A$7:$A$56,0)),"")="Implemented"),ISNUMBER(IFERROR(INDEX('Review &amp; Decision'!$G$7:$G$56,MATCH($A55,'Review &amp; Decision'!$A$7:$A$56,0)),"")),IFERROR(INDEX('Review &amp; Decision'!$G$7:$G$56,MATCH($A55,'Review &amp; Decision'!$A$7:$A$56,0)),"")&gt;0,IFERROR(INDEX('Review &amp; Decision'!$G$7:$G$56,MATCH($A55,'Review &amp; Decision'!$A$7:$A$56,0)),"")&lt;=Settings!$B$7,ISNUMBER(IFERROR(INDEX('Review &amp; Decision'!$I$7:$I$56,MATCH($A55,'Review &amp; Decision'!$A$7:$A$56,0)),"")),IFERROR(INDEX('Review &amp; Decision'!$I$7:$I$56,MATCH($A55,'Review &amp; Decision'!$A$7:$A$56,0)),"")&gt;0,IFERROR(INDEX('Review &amp; Decision'!$I$7:$I$56,MATCH($A55,'Review &amp; Decision'!$A$7:$A$56,0)),"")&lt;=Settings!$B$7,IFERROR(INDEX('Review &amp; Decision'!$I$7:$I$56,MATCH($A55,'Review &amp; Decision'!$A$7:$A$56,0)),"")&gt;=IFERROR(INDEX('Review &amp; Decision'!$G$7:$G$56,MATCH($A55,'Review &amp; Decision'!$A$7:$A$56,0)),""),COUNTIFS('Review &amp; Decision'!$A$7:$A$56,$A55,'Review &amp; Decision'!$J$7:$J$56,"&lt;&gt;")=1,COUNTIFS('Review &amp; Decision'!$A$7:$A$56,$A55,'Review &amp; Decision'!$K$7:$K$56,"&lt;&gt;")=1,ISNUMBER(IFERROR(INDEX('Review &amp; Decision'!$J$7:$J$56,MATCH($A55,'Review &amp; Decision'!$A$7:$A$56,0)),"")),IFERROR(INDEX('Review &amp; Decision'!$J$7:$J$56,MATCH($A55,'Review &amp; Decision'!$A$7:$A$56,0)),"")&gt;=0,IFERROR(INDEX('Review &amp; Decision'!$J$7:$J$56,MATCH($A55,'Review &amp; Decision'!$A$7:$A$56,0)),"")&lt;=1,ISNUMBER(IFERROR(INDEX('Review &amp; Decision'!$K$7:$K$56,MATCH($A55,'Review &amp; Decision'!$A$7:$A$56,0)),"")),IFERROR(INDEX('Review &amp; Decision'!$K$7:$K$56,MATCH($A55,'Review &amp; Decision'!$A$7:$A$56,0)),"")&gt;=0,IFERROR(INDEX('Review &amp; Decision'!$K$7:$K$56,MATCH($A55,'Review &amp; Decision'!$A$7:$A$56,0)),"")&lt;=1,ISNUMBER(Settings!$B$7),Settings!$B$7&gt;0,OR(Settings!$B$8="Approved + measured",Settings!$B$8="Measured only"),LEN(TRIM(IF(COUNTIFS('Review &amp; Decision'!$A$7:$A$56,$A55,'Review &amp; Decision'!$D$7:$D$56,"&lt;&gt;")=1,IFERROR(INDEX('Review &amp; Decision'!$D$7:$D$56,MATCH($A55,'Review &amp; Decision'!$A$7:$A$56,0)),""),"")))&gt;0,LEN(TRIM(IF(COUNTIFS('Review &amp; Decision'!$A$7:$A$56,$A55,'Review &amp; Decision'!$F$7:$F$56,"&lt;&gt;")=1,IFERROR(INDEX('Review &amp; Decision'!$F$7:$F$56,MATCH($A55,'Review &amp; Decision'!$A$7:$A$56,0)),""),"")))&gt;0,OR(IFERROR(INDEX('Review &amp; Decision'!$C$7:$C$56,MATCH($A55,'Review &amp; Decision'!$A$7:$A$56,0)),"")&lt;&gt;"Accepted reduction",LEN(TRIM(IF(COUNTIFS('Review &amp; Decision'!$A$7:$A$56,$A55,'Review &amp; Decision'!$L$7:$L$56,"&lt;&gt;")=1,IFERROR(INDEX('Review &amp; Decision'!$L$7:$L$56,MATCH($A55,'Review &amp; Decision'!$A$7:$A$56,0)),""),"")))&gt;0)),1,0)</f>
        <v>0</v>
      </c>
      <c r="I55" s="14">
        <f>IF(AND(AG55=1,IFERROR(INDEX(Actuals!$M$7:$M$56,MATCH($A55,Actuals!$A$7:$A$56,0)),"")="Ready",IFERROR(INDEX(Actuals!$D$7:$D$56,MATCH($A55,Actuals!$A$7:$A$56,0)),"")&gt;=IFERROR(INDEX('Review &amp; Decision'!$I$7:$I$56,MATCH($A55,'Review &amp; Decision'!$A$7:$A$56,0)),"")),1,0)</f>
        <v>0</v>
      </c>
      <c r="J55" s="14" t="str">
        <f t="shared" si="12"/>
        <v>Unused slot</v>
      </c>
      <c r="K55" s="14">
        <f t="shared" si="13"/>
        <v>0</v>
      </c>
      <c r="L55" s="14">
        <f t="shared" si="14"/>
        <v>0</v>
      </c>
      <c r="M55" s="14">
        <f>IF(OR(L55=1,AND(K55=1,Settings!$B$8="Approved + measured")),1,0)</f>
        <v>0</v>
      </c>
      <c r="N55" s="14" t="str">
        <f>IF(E55=1,IFERROR(INDEX(Current!$H$7:$H$56,MATCH($A55,Current!$A$7:$A$56,0)),""),"")</f>
        <v/>
      </c>
      <c r="O55" s="14" t="str">
        <f>IF(F55=1,IFERROR(INDEX(Proposed!$I$7:$I$56,MATCH($A55,Proposed!$A$7:$A$56,0)),""),"")</f>
        <v/>
      </c>
      <c r="P55" s="14" t="str">
        <f t="shared" si="15"/>
        <v/>
      </c>
      <c r="Q55" s="14" t="str">
        <f>IF(E55=1,IFERROR(INDEX(Current!$I$7:$I$56,MATCH($A55,Current!$A$7:$A$56,0)),""),"")</f>
        <v/>
      </c>
      <c r="R55" s="14" t="str">
        <f>IF(F55=1,IFERROR(INDEX(Proposed!$J$7:$J$56,MATCH($A55,Proposed!$A$7:$A$56,0)),""),"")</f>
        <v/>
      </c>
      <c r="S55" s="14" t="str">
        <f t="shared" si="16"/>
        <v/>
      </c>
      <c r="T55" s="14" t="str">
        <f>IF(E55=1,IFERROR(INDEX(Current!$E$7:$E$56,MATCH($A55,Current!$A$7:$A$56,0)),""),"")</f>
        <v/>
      </c>
      <c r="U55" s="14" t="str">
        <f>IF(F55=1,IFERROR(INDEX(Proposed!$E$7:$E$56,MATCH($A55,Proposed!$A$7:$A$56,0)),""),"")</f>
        <v/>
      </c>
      <c r="V55" s="14" t="str">
        <f t="shared" si="17"/>
        <v/>
      </c>
      <c r="W55" s="14" t="str">
        <f>IF(E55=1,IFERROR(INDEX(Current!$K$7:$K$56,MATCH($A55,Current!$A$7:$A$56,0)),""),"")</f>
        <v/>
      </c>
      <c r="X55" s="14" t="str">
        <f>IF(F55=1,IFERROR(INDEX(Proposed!$L$7:$L$56,MATCH($A55,Proposed!$A$7:$A$56,0)),""),"")</f>
        <v/>
      </c>
      <c r="Y55" s="14" t="str">
        <f t="shared" si="18"/>
        <v/>
      </c>
      <c r="Z55" s="14" t="str">
        <f>IF(F55=1,IFERROR(INDEX(Proposed!$F$7:$F$56,MATCH($A55,Proposed!$A$7:$A$56,0)),""),"")</f>
        <v/>
      </c>
      <c r="AA55" s="14">
        <f>IF(M55=1,IF(IF(L55=1,AL55,P55)&gt;0,IF(L55=1,AL55,P55)*IFERROR(INDEX('Review &amp; Decision'!$J$7:$J$56,MATCH($A55,'Review &amp; Decision'!$A$7:$A$56,0)),""),IF(L55=1,AL55,P55)),0)</f>
        <v>0</v>
      </c>
      <c r="AB55" s="14">
        <f>IF(M55=1,IF(IF(L55=1,AM55,S55)&gt;0,IF(L55=1,AM55,S55)*IFERROR(INDEX('Review &amp; Decision'!$K$7:$K$56,MATCH($A55,'Review &amp; Decision'!$A$7:$A$56,0)),""),IF(L55=1,AM55,S55)),0)</f>
        <v>0</v>
      </c>
      <c r="AC55" s="14">
        <f t="shared" si="19"/>
        <v>0</v>
      </c>
      <c r="AD55" s="14">
        <f t="shared" si="20"/>
        <v>0</v>
      </c>
      <c r="AE55" s="14">
        <f t="shared" si="21"/>
        <v>0</v>
      </c>
      <c r="AF55" s="14" t="str">
        <f t="shared" si="22"/>
        <v>No measurement warning</v>
      </c>
      <c r="AG55" s="14">
        <f>IF(AND(COUNTIF(Cases!$A$7:$A$56,$A55)=1,COUNTIF(Current!$A$7:$A$56,$A55)=1,COUNTIF(Proposed!$A$7:$A$56,$A55)=1,COUNTIF('Review &amp; Decision'!$A$7:$A$56,$A55)=1,COUNTIF('Challenge Review'!$A$7:$A$56,$A55)=1,COUNTIF(Actuals!$A$7:$A$56,$A55)=1,COUNTIF(Classification!$A$7:$A$56,$A55)=1),1,0)</f>
        <v>1</v>
      </c>
      <c r="AH55" s="14">
        <f t="shared" si="23"/>
        <v>0</v>
      </c>
      <c r="AI55" s="14" t="str">
        <f>IF(COUNTIFS('Review &amp; Decision'!$A$7:$A$56,$A55,'Review &amp; Decision'!$H$7:$H$56,"&lt;&gt;")=1,IFERROR(INDEX('Review &amp; Decision'!$H$7:$H$56,MATCH($A55,'Review &amp; Decision'!$A$7:$A$56,0)),""),"")</f>
        <v/>
      </c>
      <c r="AJ55" s="14" t="str">
        <f>IF(COUNTIFS('Review &amp; Decision'!$A$7:$A$56,$A55,'Review &amp; Decision'!$E$7:$E$56,"&lt;&gt;")=1,IFERROR(INDEX('Review &amp; Decision'!$E$7:$E$56,MATCH($A55,'Review &amp; Decision'!$A$7:$A$56,0)),""),"")</f>
        <v/>
      </c>
      <c r="AK55" s="14" t="str">
        <f>IF(COUNTIFS('Review &amp; Decision'!$A$7:$A$56,$A55,'Review &amp; Decision'!$B$7:$B$56,"&lt;&gt;")=1,IFERROR(INDEX('Review &amp; Decision'!$B$7:$B$56,MATCH($A55,'Review &amp; Decision'!$A$7:$A$56,0)),""),"")</f>
        <v/>
      </c>
      <c r="AL55" s="14" t="str">
        <f>IF(I55=1,IFERROR(INDEX(Actuals!$E$7:$E$56,MATCH($A55,Actuals!$A$7:$A$56,0)),""),"")</f>
        <v/>
      </c>
      <c r="AM55" s="14" t="str">
        <f>IF(I55=1,IFERROR(INDEX(Actuals!$F$7:$F$56,MATCH($A55,Actuals!$A$7:$A$56,0)),""),"")</f>
        <v/>
      </c>
      <c r="AN55" s="14" t="str">
        <f>IF(I55=1,IFERROR(INDEX(Actuals!$G$7:$G$56,MATCH($A55,Actuals!$A$7:$A$56,0)),""),"")</f>
        <v/>
      </c>
      <c r="AO55" s="14" t="str">
        <f>IF(I55=1,IFERROR(INDEX(Actuals!$G$7:$G$56,MATCH($A55,Actuals!$A$7:$A$56,0)),"")+IFERROR(INDEX(Actuals!$H$7:$H$56,MATCH($A55,Actuals!$A$7:$A$56,0)),""),"")</f>
        <v/>
      </c>
      <c r="AP55" s="14" t="str">
        <f>IF(COUNTIFS(Cases!$A$7:$A$56,$A55,Cases!$G$7:$G$56,"&lt;&gt;")=1,IFERROR(INDEX(Cases!$G$7:$G$56,MATCH($A55,Cases!$A$7:$A$56,0)),""),"")</f>
        <v/>
      </c>
    </row>
    <row r="56" spans="1:42" ht="43.9" customHeight="1">
      <c r="A56" s="14" t="s">
        <v>147</v>
      </c>
      <c r="B56" s="14" t="str">
        <f>IF(COUNTIFS(Cases!$A$7:$A$56,$A56,Cases!$B$7:$B$56,"&lt;&gt;")=1,IFERROR(INDEX(Cases!$B$7:$B$56,MATCH($A56,Cases!$A$7:$A$56,0)),""),"")</f>
        <v>Inactive</v>
      </c>
      <c r="C56" s="14" t="str">
        <f>IF(COUNTIFS(Cases!$A$7:$A$56,$A56,Cases!$C$7:$C$56,"&lt;&gt;")=1,IFERROR(INDEX(Cases!$C$7:$C$56,MATCH($A56,Cases!$A$7:$A$56,0)),""),"")</f>
        <v/>
      </c>
      <c r="D56" s="14">
        <f>IF(AND(AG56=1,OR(B56="Example",B56="Live"),OR(AP56="Simplify",AP56="Replace",AP56="Reduce scope",AP56="Retire",AP56="Retain"),COUNTIFS(Cases!$A$7:$A$56,$A56,Cases!$C$7:$C$56,"&lt;&gt;")=1,COUNTIFS(Cases!$A$7:$A$56,$A56,Cases!$D$7:$D$56,"&lt;&gt;")=1,COUNTIFS(Cases!$A$7:$A$56,$A56,Cases!$E$7:$E$56,"&lt;&gt;")=1,COUNTIFS(Cases!$A$7:$A$56,$A56,Cases!$F$7:$F$56,"&lt;&gt;")=1,COUNTIFS(Cases!$A$7:$A$56,$A56,Cases!$H$7:$H$56,"&lt;&gt;")=1,COUNTIFS(Cases!$A$7:$A$56,$A56,Cases!$I$7:$I$56,"&lt;&gt;")=1,LEN(TRIM(IF(COUNTIFS(Cases!$A$7:$A$56,$A56,Cases!$C$7:$C$56,"&lt;&gt;")=1,IFERROR(INDEX(Cases!$C$7:$C$56,MATCH($A56,Cases!$A$7:$A$56,0)),""),"")))&gt;0,LEN(TRIM(IF(COUNTIFS(Cases!$A$7:$A$56,$A56,Cases!$D$7:$D$56,"&lt;&gt;")=1,IFERROR(INDEX(Cases!$D$7:$D$56,MATCH($A56,Cases!$A$7:$A$56,0)),""),"")))&gt;0,LEN(TRIM(IF(COUNTIFS(Cases!$A$7:$A$56,$A56,Cases!$E$7:$E$56,"&lt;&gt;")=1,IFERROR(INDEX(Cases!$E$7:$E$56,MATCH($A56,Cases!$A$7:$A$56,0)),""),"")))&gt;0,LEN(TRIM(IF(COUNTIFS(Cases!$A$7:$A$56,$A56,Cases!$F$7:$F$56,"&lt;&gt;")=1,IFERROR(INDEX(Cases!$F$7:$F$56,MATCH($A56,Cases!$A$7:$A$56,0)),""),"")))&gt;0,LEN(TRIM(IF(COUNTIFS(Cases!$A$7:$A$56,$A56,Cases!$H$7:$H$56,"&lt;&gt;")=1,IFERROR(INDEX(Cases!$H$7:$H$56,MATCH($A56,Cases!$A$7:$A$56,0)),""),"")))&gt;0,LEN(TRIM(IF(COUNTIFS(Cases!$A$7:$A$56,$A56,Cases!$I$7:$I$56,"&lt;&gt;")=1,IFERROR(INDEX(Cases!$I$7:$I$56,MATCH($A56,Cases!$A$7:$A$56,0)),""),"")))&gt;0),1,0)</f>
        <v>0</v>
      </c>
      <c r="E56" s="14">
        <f>IF(AND(AG56=1,IFERROR(INDEX(Current!$G$7:$G$56,MATCH($A56,Current!$A$7:$A$56,0)),"")="Ready"),1,0)</f>
        <v>0</v>
      </c>
      <c r="F56" s="14">
        <f>IF(AND(AG56=1,IFERROR(INDEX(Proposed!$H$7:$H$56,MATCH($A56,Proposed!$A$7:$A$56,0)),"")="Ready",OR(AP56&lt;&gt;"Retain",AND(IFERROR(INDEX(Current!$B$7:$B$56,MATCH($A56,Current!$A$7:$A$56,0)),"")=IFERROR(INDEX(Proposed!$B$7:$B$56,MATCH($A56,Proposed!$A$7:$A$56,0)),""),IFERROR(INDEX(Current!$C$7:$C$56,MATCH($A56,Current!$A$7:$A$56,0)),"")=IFERROR(INDEX(Proposed!$C$7:$C$56,MATCH($A56,Proposed!$A$7:$A$56,0)),""),IFERROR(INDEX(Current!$D$7:$D$56,MATCH($A56,Current!$A$7:$A$56,0)),"")=IFERROR(INDEX(Proposed!$D$7:$D$56,MATCH($A56,Proposed!$A$7:$A$56,0)),""),IFERROR(INDEX(Current!$E$7:$E$56,MATCH($A56,Current!$A$7:$A$56,0)),"")=IFERROR(INDEX(Proposed!$E$7:$E$56,MATCH($A56,Proposed!$A$7:$A$56,0)),"")))),1,0)</f>
        <v>0</v>
      </c>
      <c r="G56" s="14" t="str">
        <f>IF(COUNTIFS('Challenge Review'!$A$7:$A$56,$A56,'Challenge Review'!$K$7:$K$56,"&lt;&gt;")=1,IFERROR(INDEX('Challenge Review'!$K$7:$K$56,MATCH($A56,'Challenge Review'!$A$7:$A$56,0)),""),"")</f>
        <v>Unchecked</v>
      </c>
      <c r="H56" s="14">
        <f>IF(AND(AG56=1,IFERROR(INDEX('Review &amp; Decision'!$B$7:$B$56,MATCH($A56,'Review &amp; Decision'!$A$7:$A$56,0)),"")="Evidence-backed",OR(IFERROR(INDEX('Review &amp; Decision'!$C$7:$C$56,MATCH($A56,'Review &amp; Decision'!$A$7:$A$56,0)),"")="Equivalent or better",AND(IFERROR(INDEX('Review &amp; Decision'!$C$7:$C$56,MATCH($A56,'Review &amp; Decision'!$A$7:$A$56,0)),"")="Accepted reduction",COUNTIFS('Review &amp; Decision'!$A$7:$A$56,$A56,'Review &amp; Decision'!$L$7:$L$56,"&lt;&gt;")=1)),COUNTIFS('Review &amp; Decision'!$A$7:$A$56,$A56,'Review &amp; Decision'!$D$7:$D$56,"&lt;&gt;")=1,COUNTIFS('Review &amp; Decision'!$A$7:$A$56,$A56,'Review &amp; Decision'!$F$7:$F$56,"&lt;&gt;")=1,OR(IFERROR(INDEX('Review &amp; Decision'!$E$7:$E$56,MATCH($A56,'Review &amp; Decision'!$A$7:$A$56,0)),"")="Approved",IFERROR(INDEX('Review &amp; Decision'!$E$7:$E$56,MATCH($A56,'Review &amp; Decision'!$A$7:$A$56,0)),"")="Implemented"),ISNUMBER(IFERROR(INDEX('Review &amp; Decision'!$G$7:$G$56,MATCH($A56,'Review &amp; Decision'!$A$7:$A$56,0)),"")),IFERROR(INDEX('Review &amp; Decision'!$G$7:$G$56,MATCH($A56,'Review &amp; Decision'!$A$7:$A$56,0)),"")&gt;0,IFERROR(INDEX('Review &amp; Decision'!$G$7:$G$56,MATCH($A56,'Review &amp; Decision'!$A$7:$A$56,0)),"")&lt;=Settings!$B$7,ISNUMBER(IFERROR(INDEX('Review &amp; Decision'!$I$7:$I$56,MATCH($A56,'Review &amp; Decision'!$A$7:$A$56,0)),"")),IFERROR(INDEX('Review &amp; Decision'!$I$7:$I$56,MATCH($A56,'Review &amp; Decision'!$A$7:$A$56,0)),"")&gt;0,IFERROR(INDEX('Review &amp; Decision'!$I$7:$I$56,MATCH($A56,'Review &amp; Decision'!$A$7:$A$56,0)),"")&lt;=Settings!$B$7,IFERROR(INDEX('Review &amp; Decision'!$I$7:$I$56,MATCH($A56,'Review &amp; Decision'!$A$7:$A$56,0)),"")&gt;=IFERROR(INDEX('Review &amp; Decision'!$G$7:$G$56,MATCH($A56,'Review &amp; Decision'!$A$7:$A$56,0)),""),COUNTIFS('Review &amp; Decision'!$A$7:$A$56,$A56,'Review &amp; Decision'!$J$7:$J$56,"&lt;&gt;")=1,COUNTIFS('Review &amp; Decision'!$A$7:$A$56,$A56,'Review &amp; Decision'!$K$7:$K$56,"&lt;&gt;")=1,ISNUMBER(IFERROR(INDEX('Review &amp; Decision'!$J$7:$J$56,MATCH($A56,'Review &amp; Decision'!$A$7:$A$56,0)),"")),IFERROR(INDEX('Review &amp; Decision'!$J$7:$J$56,MATCH($A56,'Review &amp; Decision'!$A$7:$A$56,0)),"")&gt;=0,IFERROR(INDEX('Review &amp; Decision'!$J$7:$J$56,MATCH($A56,'Review &amp; Decision'!$A$7:$A$56,0)),"")&lt;=1,ISNUMBER(IFERROR(INDEX('Review &amp; Decision'!$K$7:$K$56,MATCH($A56,'Review &amp; Decision'!$A$7:$A$56,0)),"")),IFERROR(INDEX('Review &amp; Decision'!$K$7:$K$56,MATCH($A56,'Review &amp; Decision'!$A$7:$A$56,0)),"")&gt;=0,IFERROR(INDEX('Review &amp; Decision'!$K$7:$K$56,MATCH($A56,'Review &amp; Decision'!$A$7:$A$56,0)),"")&lt;=1,ISNUMBER(Settings!$B$7),Settings!$B$7&gt;0,OR(Settings!$B$8="Approved + measured",Settings!$B$8="Measured only"),LEN(TRIM(IF(COUNTIFS('Review &amp; Decision'!$A$7:$A$56,$A56,'Review &amp; Decision'!$D$7:$D$56,"&lt;&gt;")=1,IFERROR(INDEX('Review &amp; Decision'!$D$7:$D$56,MATCH($A56,'Review &amp; Decision'!$A$7:$A$56,0)),""),"")))&gt;0,LEN(TRIM(IF(COUNTIFS('Review &amp; Decision'!$A$7:$A$56,$A56,'Review &amp; Decision'!$F$7:$F$56,"&lt;&gt;")=1,IFERROR(INDEX('Review &amp; Decision'!$F$7:$F$56,MATCH($A56,'Review &amp; Decision'!$A$7:$A$56,0)),""),"")))&gt;0,OR(IFERROR(INDEX('Review &amp; Decision'!$C$7:$C$56,MATCH($A56,'Review &amp; Decision'!$A$7:$A$56,0)),"")&lt;&gt;"Accepted reduction",LEN(TRIM(IF(COUNTIFS('Review &amp; Decision'!$A$7:$A$56,$A56,'Review &amp; Decision'!$L$7:$L$56,"&lt;&gt;")=1,IFERROR(INDEX('Review &amp; Decision'!$L$7:$L$56,MATCH($A56,'Review &amp; Decision'!$A$7:$A$56,0)),""),"")))&gt;0)),1,0)</f>
        <v>0</v>
      </c>
      <c r="I56" s="14">
        <f>IF(AND(AG56=1,IFERROR(INDEX(Actuals!$M$7:$M$56,MATCH($A56,Actuals!$A$7:$A$56,0)),"")="Ready",IFERROR(INDEX(Actuals!$D$7:$D$56,MATCH($A56,Actuals!$A$7:$A$56,0)),"")&gt;=IFERROR(INDEX('Review &amp; Decision'!$I$7:$I$56,MATCH($A56,'Review &amp; Decision'!$A$7:$A$56,0)),"")),1,0)</f>
        <v>0</v>
      </c>
      <c r="J56" s="14" t="str">
        <f t="shared" si="12"/>
        <v>Unused slot</v>
      </c>
      <c r="K56" s="14">
        <f t="shared" si="13"/>
        <v>0</v>
      </c>
      <c r="L56" s="14">
        <f t="shared" si="14"/>
        <v>0</v>
      </c>
      <c r="M56" s="14">
        <f>IF(OR(L56=1,AND(K56=1,Settings!$B$8="Approved + measured")),1,0)</f>
        <v>0</v>
      </c>
      <c r="N56" s="14" t="str">
        <f>IF(E56=1,IFERROR(INDEX(Current!$H$7:$H$56,MATCH($A56,Current!$A$7:$A$56,0)),""),"")</f>
        <v/>
      </c>
      <c r="O56" s="14" t="str">
        <f>IF(F56=1,IFERROR(INDEX(Proposed!$I$7:$I$56,MATCH($A56,Proposed!$A$7:$A$56,0)),""),"")</f>
        <v/>
      </c>
      <c r="P56" s="14" t="str">
        <f t="shared" si="15"/>
        <v/>
      </c>
      <c r="Q56" s="14" t="str">
        <f>IF(E56=1,IFERROR(INDEX(Current!$I$7:$I$56,MATCH($A56,Current!$A$7:$A$56,0)),""),"")</f>
        <v/>
      </c>
      <c r="R56" s="14" t="str">
        <f>IF(F56=1,IFERROR(INDEX(Proposed!$J$7:$J$56,MATCH($A56,Proposed!$A$7:$A$56,0)),""),"")</f>
        <v/>
      </c>
      <c r="S56" s="14" t="str">
        <f t="shared" si="16"/>
        <v/>
      </c>
      <c r="T56" s="14" t="str">
        <f>IF(E56=1,IFERROR(INDEX(Current!$E$7:$E$56,MATCH($A56,Current!$A$7:$A$56,0)),""),"")</f>
        <v/>
      </c>
      <c r="U56" s="14" t="str">
        <f>IF(F56=1,IFERROR(INDEX(Proposed!$E$7:$E$56,MATCH($A56,Proposed!$A$7:$A$56,0)),""),"")</f>
        <v/>
      </c>
      <c r="V56" s="14" t="str">
        <f t="shared" si="17"/>
        <v/>
      </c>
      <c r="W56" s="14" t="str">
        <f>IF(E56=1,IFERROR(INDEX(Current!$K$7:$K$56,MATCH($A56,Current!$A$7:$A$56,0)),""),"")</f>
        <v/>
      </c>
      <c r="X56" s="14" t="str">
        <f>IF(F56=1,IFERROR(INDEX(Proposed!$L$7:$L$56,MATCH($A56,Proposed!$A$7:$A$56,0)),""),"")</f>
        <v/>
      </c>
      <c r="Y56" s="14" t="str">
        <f t="shared" si="18"/>
        <v/>
      </c>
      <c r="Z56" s="14" t="str">
        <f>IF(F56=1,IFERROR(INDEX(Proposed!$F$7:$F$56,MATCH($A56,Proposed!$A$7:$A$56,0)),""),"")</f>
        <v/>
      </c>
      <c r="AA56" s="14">
        <f>IF(M56=1,IF(IF(L56=1,AL56,P56)&gt;0,IF(L56=1,AL56,P56)*IFERROR(INDEX('Review &amp; Decision'!$J$7:$J$56,MATCH($A56,'Review &amp; Decision'!$A$7:$A$56,0)),""),IF(L56=1,AL56,P56)),0)</f>
        <v>0</v>
      </c>
      <c r="AB56" s="14">
        <f>IF(M56=1,IF(IF(L56=1,AM56,S56)&gt;0,IF(L56=1,AM56,S56)*IFERROR(INDEX('Review &amp; Decision'!$K$7:$K$56,MATCH($A56,'Review &amp; Decision'!$A$7:$A$56,0)),""),IF(L56=1,AM56,S56)),0)</f>
        <v>0</v>
      </c>
      <c r="AC56" s="14">
        <f t="shared" si="19"/>
        <v>0</v>
      </c>
      <c r="AD56" s="14">
        <f t="shared" si="20"/>
        <v>0</v>
      </c>
      <c r="AE56" s="14">
        <f t="shared" si="21"/>
        <v>0</v>
      </c>
      <c r="AF56" s="14" t="str">
        <f t="shared" si="22"/>
        <v>No measurement warning</v>
      </c>
      <c r="AG56" s="14">
        <f>IF(AND(COUNTIF(Cases!$A$7:$A$56,$A56)=1,COUNTIF(Current!$A$7:$A$56,$A56)=1,COUNTIF(Proposed!$A$7:$A$56,$A56)=1,COUNTIF('Review &amp; Decision'!$A$7:$A$56,$A56)=1,COUNTIF('Challenge Review'!$A$7:$A$56,$A56)=1,COUNTIF(Actuals!$A$7:$A$56,$A56)=1,COUNTIF(Classification!$A$7:$A$56,$A56)=1),1,0)</f>
        <v>1</v>
      </c>
      <c r="AH56" s="14">
        <f t="shared" si="23"/>
        <v>0</v>
      </c>
      <c r="AI56" s="14" t="str">
        <f>IF(COUNTIFS('Review &amp; Decision'!$A$7:$A$56,$A56,'Review &amp; Decision'!$H$7:$H$56,"&lt;&gt;")=1,IFERROR(INDEX('Review &amp; Decision'!$H$7:$H$56,MATCH($A56,'Review &amp; Decision'!$A$7:$A$56,0)),""),"")</f>
        <v/>
      </c>
      <c r="AJ56" s="14" t="str">
        <f>IF(COUNTIFS('Review &amp; Decision'!$A$7:$A$56,$A56,'Review &amp; Decision'!$E$7:$E$56,"&lt;&gt;")=1,IFERROR(INDEX('Review &amp; Decision'!$E$7:$E$56,MATCH($A56,'Review &amp; Decision'!$A$7:$A$56,0)),""),"")</f>
        <v/>
      </c>
      <c r="AK56" s="14" t="str">
        <f>IF(COUNTIFS('Review &amp; Decision'!$A$7:$A$56,$A56,'Review &amp; Decision'!$B$7:$B$56,"&lt;&gt;")=1,IFERROR(INDEX('Review &amp; Decision'!$B$7:$B$56,MATCH($A56,'Review &amp; Decision'!$A$7:$A$56,0)),""),"")</f>
        <v/>
      </c>
      <c r="AL56" s="14" t="str">
        <f>IF(I56=1,IFERROR(INDEX(Actuals!$E$7:$E$56,MATCH($A56,Actuals!$A$7:$A$56,0)),""),"")</f>
        <v/>
      </c>
      <c r="AM56" s="14" t="str">
        <f>IF(I56=1,IFERROR(INDEX(Actuals!$F$7:$F$56,MATCH($A56,Actuals!$A$7:$A$56,0)),""),"")</f>
        <v/>
      </c>
      <c r="AN56" s="14" t="str">
        <f>IF(I56=1,IFERROR(INDEX(Actuals!$G$7:$G$56,MATCH($A56,Actuals!$A$7:$A$56,0)),""),"")</f>
        <v/>
      </c>
      <c r="AO56" s="14" t="str">
        <f>IF(I56=1,IFERROR(INDEX(Actuals!$G$7:$G$56,MATCH($A56,Actuals!$A$7:$A$56,0)),"")+IFERROR(INDEX(Actuals!$H$7:$H$56,MATCH($A56,Actuals!$A$7:$A$56,0)),""),"")</f>
        <v/>
      </c>
      <c r="AP56" s="14" t="str">
        <f>IF(COUNTIFS(Cases!$A$7:$A$56,$A56,Cases!$G$7:$G$56,"&lt;&gt;")=1,IFERROR(INDEX(Cases!$G$7:$G$56,MATCH($A56,Cases!$A$7:$A$56,0)),""),"")</f>
        <v/>
      </c>
    </row>
    <row r="57" spans="1:42" ht="22.9"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row>
    <row r="58" spans="1:42" ht="22.9"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row>
    <row r="59" spans="1:42" ht="22.9"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row>
    <row r="60" spans="1:42" ht="22.9"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row>
    <row r="61" spans="1:42" ht="22.9"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row>
    <row r="62" spans="1:42" ht="22.9"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row>
    <row r="63" spans="1:42" ht="22.9"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row>
    <row r="64" spans="1:42" ht="22.9"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row>
    <row r="65" spans="1:42" ht="22.9"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row>
    <row r="66" spans="1:42" ht="22.9"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row>
    <row r="67" spans="1:42" ht="22.9"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row>
    <row r="68" spans="1:42" ht="22.9"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row>
    <row r="69" spans="1:42" ht="22.9"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row>
    <row r="70" spans="1:42" ht="22.9"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row>
    <row r="71" spans="1:42" ht="22.9"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row>
    <row r="72" spans="1:42" ht="22.9"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row>
    <row r="73" spans="1:42" ht="22.9"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row>
    <row r="74" spans="1:42" ht="22.9"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row>
    <row r="75" spans="1:42" ht="22.9"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row>
    <row r="76" spans="1:42" ht="22.9"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row>
    <row r="77" spans="1:42" ht="22.9"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row>
    <row r="78" spans="1:42" ht="22.9"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row>
    <row r="79" spans="1:42" ht="22.9"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row>
    <row r="80" spans="1:42" ht="22.9"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row>
  </sheetData>
  <mergeCells count="2">
    <mergeCell ref="A1:AP2"/>
    <mergeCell ref="A3:AP4"/>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944bf6ff-de76-46d9-9c42-32dece70be80}" enabled="1" method="Privileged" siteId="{34bf29ee-12a0-45b9-9c3b-c492c975108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Start</vt:lpstr>
      <vt:lpstr>Case View</vt:lpstr>
      <vt:lpstr>Cases</vt:lpstr>
      <vt:lpstr>Current</vt:lpstr>
      <vt:lpstr>Proposed</vt:lpstr>
      <vt:lpstr>Review &amp; Decision</vt:lpstr>
      <vt:lpstr>Challenge Review</vt:lpstr>
      <vt:lpstr>Actuals</vt:lpstr>
      <vt:lpstr>Reinvestment</vt:lpstr>
      <vt:lpstr>Classification</vt:lpstr>
      <vt:lpstr>Settings</vt:lpstr>
      <vt:lpstr>Guide</vt:lpstr>
      <vt:lpstr>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2026-10-27T13:43:57Z</dcterms:modified>
</cp:coreProperties>
</file>